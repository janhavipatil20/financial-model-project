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Trim 3\Financial Management\"/>
    </mc:Choice>
  </mc:AlternateContent>
  <xr:revisionPtr revIDLastSave="0" documentId="13_ncr:1_{2A4BE660-4E6A-46F7-A4FA-13287C2EB147}" xr6:coauthVersionLast="47" xr6:coauthVersionMax="47" xr10:uidLastSave="{00000000-0000-0000-0000-000000000000}"/>
  <bookViews>
    <workbookView xWindow="-110" yWindow="-110" windowWidth="19420" windowHeight="11500" tabRatio="753" firstSheet="7" activeTab="8" xr2:uid="{00000000-000D-0000-FFFF-FFFF00000000}"/>
  </bookViews>
  <sheets>
    <sheet name="Intro" sheetId="8" r:id="rId1"/>
    <sheet name="Balance Sheet" sheetId="1" r:id="rId2"/>
    <sheet name="Income Statement" sheetId="2" r:id="rId3"/>
    <sheet name="Cashflow" sheetId="3" r:id="rId4"/>
    <sheet name="FCFF &amp; FCFE" sheetId="4" r:id="rId5"/>
    <sheet name="WACC" sheetId="5" r:id="rId6"/>
    <sheet name="EVA &amp; MVA" sheetId="6" r:id="rId7"/>
    <sheet name="Interpretation" sheetId="9" r:id="rId8"/>
    <sheet name="Activity Ratios"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3" i="10" l="1"/>
  <c r="C5" i="10"/>
  <c r="K6" i="10"/>
  <c r="E6" i="10"/>
  <c r="G6" i="10"/>
  <c r="I6" i="10"/>
  <c r="C6" i="10"/>
  <c r="E5" i="10"/>
  <c r="G5" i="10"/>
  <c r="I5" i="10"/>
  <c r="K5" i="10"/>
  <c r="I3" i="10"/>
  <c r="G3" i="10"/>
  <c r="E3" i="10"/>
  <c r="C3" i="10"/>
  <c r="K2" i="10"/>
  <c r="I2" i="10"/>
  <c r="G2" i="10"/>
  <c r="G4" i="10" s="1"/>
  <c r="G8" i="10" s="1"/>
  <c r="E2" i="10"/>
  <c r="C2" i="10"/>
  <c r="G6" i="4"/>
  <c r="F6" i="4"/>
  <c r="E6" i="4"/>
  <c r="D6" i="4"/>
  <c r="C6" i="4"/>
  <c r="B6" i="4"/>
  <c r="F1428" i="5"/>
  <c r="F1427" i="5"/>
  <c r="E1427" i="5"/>
  <c r="D1427" i="5"/>
  <c r="F1426" i="5"/>
  <c r="E1426" i="5"/>
  <c r="D1426" i="5"/>
  <c r="F1425" i="5"/>
  <c r="E1425" i="5"/>
  <c r="D1425" i="5"/>
  <c r="F1424" i="5"/>
  <c r="E1424" i="5"/>
  <c r="D1424" i="5"/>
  <c r="F1423" i="5"/>
  <c r="E1423" i="5"/>
  <c r="D1423" i="5"/>
  <c r="F1422" i="5"/>
  <c r="E1422" i="5"/>
  <c r="D1422" i="5"/>
  <c r="F1421" i="5"/>
  <c r="E1421" i="5"/>
  <c r="D1421" i="5"/>
  <c r="F1420" i="5"/>
  <c r="E1420" i="5"/>
  <c r="D1420" i="5"/>
  <c r="F1419" i="5"/>
  <c r="E1419" i="5"/>
  <c r="D1419" i="5"/>
  <c r="F1418" i="5"/>
  <c r="E1418" i="5"/>
  <c r="D1418" i="5"/>
  <c r="F1417" i="5"/>
  <c r="E1417" i="5"/>
  <c r="D1417" i="5"/>
  <c r="F1416" i="5"/>
  <c r="E1416" i="5"/>
  <c r="D1416" i="5"/>
  <c r="F1415" i="5"/>
  <c r="E1415" i="5"/>
  <c r="D1415" i="5"/>
  <c r="F1414" i="5"/>
  <c r="E1414" i="5"/>
  <c r="D1414" i="5"/>
  <c r="F1413" i="5"/>
  <c r="E1413" i="5"/>
  <c r="D1413" i="5"/>
  <c r="F1412" i="5"/>
  <c r="E1412" i="5"/>
  <c r="D1412" i="5"/>
  <c r="F1411" i="5"/>
  <c r="E1411" i="5"/>
  <c r="D1411" i="5"/>
  <c r="F1410" i="5"/>
  <c r="E1410" i="5"/>
  <c r="D1410" i="5"/>
  <c r="F1409" i="5"/>
  <c r="E1409" i="5"/>
  <c r="D1409" i="5"/>
  <c r="F1408" i="5"/>
  <c r="E1408" i="5"/>
  <c r="D1408" i="5"/>
  <c r="F1407" i="5"/>
  <c r="E1407" i="5"/>
  <c r="D1407" i="5"/>
  <c r="F1406" i="5"/>
  <c r="E1406" i="5"/>
  <c r="D1406" i="5"/>
  <c r="F1405" i="5"/>
  <c r="E1405" i="5"/>
  <c r="D1405" i="5"/>
  <c r="F1404" i="5"/>
  <c r="E1404" i="5"/>
  <c r="D1404" i="5"/>
  <c r="F1403" i="5"/>
  <c r="E1403" i="5"/>
  <c r="D1403" i="5"/>
  <c r="F1402" i="5"/>
  <c r="E1402" i="5"/>
  <c r="D1402" i="5"/>
  <c r="F1401" i="5"/>
  <c r="E1401" i="5"/>
  <c r="D1401" i="5"/>
  <c r="F1400" i="5"/>
  <c r="E1400" i="5"/>
  <c r="D1400" i="5"/>
  <c r="F1399" i="5"/>
  <c r="E1399" i="5"/>
  <c r="D1399" i="5"/>
  <c r="F1398" i="5"/>
  <c r="E1398" i="5"/>
  <c r="D1398" i="5"/>
  <c r="F1397" i="5"/>
  <c r="E1397" i="5"/>
  <c r="D1397" i="5"/>
  <c r="F1396" i="5"/>
  <c r="E1396" i="5"/>
  <c r="D1396" i="5"/>
  <c r="F1395" i="5"/>
  <c r="E1395" i="5"/>
  <c r="D1395" i="5"/>
  <c r="F1394" i="5"/>
  <c r="E1394" i="5"/>
  <c r="D1394" i="5"/>
  <c r="F1393" i="5"/>
  <c r="E1393" i="5"/>
  <c r="D1393" i="5"/>
  <c r="F1392" i="5"/>
  <c r="E1392" i="5"/>
  <c r="D1392" i="5"/>
  <c r="F1391" i="5"/>
  <c r="E1391" i="5"/>
  <c r="D1391" i="5"/>
  <c r="F1390" i="5"/>
  <c r="E1390" i="5"/>
  <c r="D1390" i="5"/>
  <c r="F1389" i="5"/>
  <c r="E1389" i="5"/>
  <c r="D1389" i="5"/>
  <c r="F1388" i="5"/>
  <c r="E1388" i="5"/>
  <c r="D1388" i="5"/>
  <c r="F1387" i="5"/>
  <c r="E1387" i="5"/>
  <c r="D1387" i="5"/>
  <c r="F1386" i="5"/>
  <c r="E1386" i="5"/>
  <c r="D1386" i="5"/>
  <c r="F1385" i="5"/>
  <c r="E1385" i="5"/>
  <c r="D1385" i="5"/>
  <c r="F1384" i="5"/>
  <c r="E1384" i="5"/>
  <c r="D1384" i="5"/>
  <c r="F1383" i="5"/>
  <c r="E1383" i="5"/>
  <c r="D1383" i="5"/>
  <c r="F1382" i="5"/>
  <c r="E1382" i="5"/>
  <c r="D1382" i="5"/>
  <c r="F1381" i="5"/>
  <c r="E1381" i="5"/>
  <c r="D1381" i="5"/>
  <c r="F1380" i="5"/>
  <c r="E1380" i="5"/>
  <c r="D1380" i="5"/>
  <c r="F1379" i="5"/>
  <c r="E1379" i="5"/>
  <c r="D1379" i="5"/>
  <c r="F1378" i="5"/>
  <c r="E1378" i="5"/>
  <c r="D1378" i="5"/>
  <c r="F1377" i="5"/>
  <c r="E1377" i="5"/>
  <c r="D1377" i="5"/>
  <c r="F1376" i="5"/>
  <c r="E1376" i="5"/>
  <c r="D1376" i="5"/>
  <c r="F1375" i="5"/>
  <c r="E1375" i="5"/>
  <c r="D1375" i="5"/>
  <c r="F1374" i="5"/>
  <c r="E1374" i="5"/>
  <c r="D1374" i="5"/>
  <c r="F1373" i="5"/>
  <c r="E1373" i="5"/>
  <c r="D1373" i="5"/>
  <c r="F1372" i="5"/>
  <c r="E1372" i="5"/>
  <c r="D1372" i="5"/>
  <c r="F1371" i="5"/>
  <c r="E1371" i="5"/>
  <c r="D1371" i="5"/>
  <c r="F1370" i="5"/>
  <c r="E1370" i="5"/>
  <c r="D1370" i="5"/>
  <c r="F1369" i="5"/>
  <c r="E1369" i="5"/>
  <c r="D1369" i="5"/>
  <c r="F1368" i="5"/>
  <c r="E1368" i="5"/>
  <c r="D1368" i="5"/>
  <c r="F1367" i="5"/>
  <c r="E1367" i="5"/>
  <c r="D1367" i="5"/>
  <c r="F1366" i="5"/>
  <c r="E1366" i="5"/>
  <c r="D1366" i="5"/>
  <c r="F1365" i="5"/>
  <c r="E1365" i="5"/>
  <c r="D1365" i="5"/>
  <c r="F1364" i="5"/>
  <c r="E1364" i="5"/>
  <c r="D1364" i="5"/>
  <c r="F1363" i="5"/>
  <c r="E1363" i="5"/>
  <c r="D1363" i="5"/>
  <c r="F1362" i="5"/>
  <c r="E1362" i="5"/>
  <c r="D1362" i="5"/>
  <c r="F1361" i="5"/>
  <c r="E1361" i="5"/>
  <c r="D1361" i="5"/>
  <c r="F1360" i="5"/>
  <c r="E1360" i="5"/>
  <c r="D1360" i="5"/>
  <c r="F1359" i="5"/>
  <c r="E1359" i="5"/>
  <c r="D1359" i="5"/>
  <c r="F1358" i="5"/>
  <c r="E1358" i="5"/>
  <c r="D1358" i="5"/>
  <c r="F1357" i="5"/>
  <c r="E1357" i="5"/>
  <c r="D1357" i="5"/>
  <c r="F1356" i="5"/>
  <c r="E1356" i="5"/>
  <c r="D1356" i="5"/>
  <c r="F1355" i="5"/>
  <c r="E1355" i="5"/>
  <c r="D1355" i="5"/>
  <c r="F1354" i="5"/>
  <c r="E1354" i="5"/>
  <c r="D1354" i="5"/>
  <c r="F1353" i="5"/>
  <c r="E1353" i="5"/>
  <c r="D1353" i="5"/>
  <c r="F1352" i="5"/>
  <c r="E1352" i="5"/>
  <c r="D1352" i="5"/>
  <c r="F1351" i="5"/>
  <c r="E1351" i="5"/>
  <c r="D1351" i="5"/>
  <c r="F1350" i="5"/>
  <c r="E1350" i="5"/>
  <c r="D1350" i="5"/>
  <c r="F1349" i="5"/>
  <c r="E1349" i="5"/>
  <c r="D1349" i="5"/>
  <c r="F1348" i="5"/>
  <c r="E1348" i="5"/>
  <c r="D1348" i="5"/>
  <c r="F1347" i="5"/>
  <c r="E1347" i="5"/>
  <c r="D1347" i="5"/>
  <c r="F1346" i="5"/>
  <c r="E1346" i="5"/>
  <c r="D1346" i="5"/>
  <c r="F1345" i="5"/>
  <c r="E1345" i="5"/>
  <c r="D1345" i="5"/>
  <c r="F1344" i="5"/>
  <c r="E1344" i="5"/>
  <c r="D1344" i="5"/>
  <c r="F1343" i="5"/>
  <c r="E1343" i="5"/>
  <c r="D1343" i="5"/>
  <c r="F1342" i="5"/>
  <c r="E1342" i="5"/>
  <c r="D1342" i="5"/>
  <c r="F1341" i="5"/>
  <c r="E1341" i="5"/>
  <c r="D1341" i="5"/>
  <c r="F1340" i="5"/>
  <c r="E1340" i="5"/>
  <c r="D1340" i="5"/>
  <c r="F1339" i="5"/>
  <c r="E1339" i="5"/>
  <c r="D1339" i="5"/>
  <c r="F1338" i="5"/>
  <c r="E1338" i="5"/>
  <c r="D1338" i="5"/>
  <c r="F1337" i="5"/>
  <c r="E1337" i="5"/>
  <c r="D1337" i="5"/>
  <c r="F1336" i="5"/>
  <c r="E1336" i="5"/>
  <c r="D1336" i="5"/>
  <c r="F1335" i="5"/>
  <c r="E1335" i="5"/>
  <c r="D1335" i="5"/>
  <c r="F1334" i="5"/>
  <c r="E1334" i="5"/>
  <c r="D1334" i="5"/>
  <c r="F1333" i="5"/>
  <c r="E1333" i="5"/>
  <c r="D1333" i="5"/>
  <c r="F1332" i="5"/>
  <c r="E1332" i="5"/>
  <c r="D1332" i="5"/>
  <c r="F1331" i="5"/>
  <c r="E1331" i="5"/>
  <c r="D1331" i="5"/>
  <c r="F1330" i="5"/>
  <c r="E1330" i="5"/>
  <c r="D1330" i="5"/>
  <c r="F1329" i="5"/>
  <c r="E1329" i="5"/>
  <c r="D1329" i="5"/>
  <c r="F1328" i="5"/>
  <c r="E1328" i="5"/>
  <c r="D1328" i="5"/>
  <c r="F1327" i="5"/>
  <c r="E1327" i="5"/>
  <c r="D1327" i="5"/>
  <c r="F1326" i="5"/>
  <c r="E1326" i="5"/>
  <c r="D1326" i="5"/>
  <c r="F1325" i="5"/>
  <c r="E1325" i="5"/>
  <c r="D1325" i="5"/>
  <c r="F1324" i="5"/>
  <c r="E1324" i="5"/>
  <c r="D1324" i="5"/>
  <c r="F1323" i="5"/>
  <c r="E1323" i="5"/>
  <c r="D1323" i="5"/>
  <c r="F1322" i="5"/>
  <c r="E1322" i="5"/>
  <c r="D1322" i="5"/>
  <c r="F1321" i="5"/>
  <c r="E1321" i="5"/>
  <c r="D1321" i="5"/>
  <c r="F1320" i="5"/>
  <c r="E1320" i="5"/>
  <c r="D1320" i="5"/>
  <c r="F1319" i="5"/>
  <c r="E1319" i="5"/>
  <c r="D1319" i="5"/>
  <c r="F1318" i="5"/>
  <c r="E1318" i="5"/>
  <c r="D1318" i="5"/>
  <c r="F1317" i="5"/>
  <c r="E1317" i="5"/>
  <c r="D1317" i="5"/>
  <c r="F1316" i="5"/>
  <c r="E1316" i="5"/>
  <c r="D1316" i="5"/>
  <c r="F1315" i="5"/>
  <c r="E1315" i="5"/>
  <c r="D1315" i="5"/>
  <c r="F1314" i="5"/>
  <c r="E1314" i="5"/>
  <c r="D1314" i="5"/>
  <c r="F1313" i="5"/>
  <c r="E1313" i="5"/>
  <c r="D1313" i="5"/>
  <c r="F1312" i="5"/>
  <c r="E1312" i="5"/>
  <c r="D1312" i="5"/>
  <c r="F1311" i="5"/>
  <c r="E1311" i="5"/>
  <c r="D1311" i="5"/>
  <c r="F1310" i="5"/>
  <c r="E1310" i="5"/>
  <c r="D1310" i="5"/>
  <c r="F1309" i="5"/>
  <c r="E1309" i="5"/>
  <c r="D1309" i="5"/>
  <c r="F1308" i="5"/>
  <c r="E1308" i="5"/>
  <c r="D1308" i="5"/>
  <c r="F1307" i="5"/>
  <c r="E1307" i="5"/>
  <c r="D1307" i="5"/>
  <c r="F1306" i="5"/>
  <c r="E1306" i="5"/>
  <c r="D1306" i="5"/>
  <c r="F1305" i="5"/>
  <c r="E1305" i="5"/>
  <c r="D1305" i="5"/>
  <c r="F1304" i="5"/>
  <c r="E1304" i="5"/>
  <c r="D1304" i="5"/>
  <c r="F1303" i="5"/>
  <c r="E1303" i="5"/>
  <c r="D1303" i="5"/>
  <c r="F1302" i="5"/>
  <c r="E1302" i="5"/>
  <c r="D1302" i="5"/>
  <c r="F1301" i="5"/>
  <c r="E1301" i="5"/>
  <c r="D1301" i="5"/>
  <c r="F1300" i="5"/>
  <c r="E1300" i="5"/>
  <c r="D1300" i="5"/>
  <c r="F1299" i="5"/>
  <c r="E1299" i="5"/>
  <c r="D1299" i="5"/>
  <c r="F1298" i="5"/>
  <c r="E1298" i="5"/>
  <c r="D1298" i="5"/>
  <c r="F1297" i="5"/>
  <c r="E1297" i="5"/>
  <c r="D1297" i="5"/>
  <c r="F1296" i="5"/>
  <c r="E1296" i="5"/>
  <c r="D1296" i="5"/>
  <c r="F1295" i="5"/>
  <c r="E1295" i="5"/>
  <c r="D1295" i="5"/>
  <c r="F1294" i="5"/>
  <c r="E1294" i="5"/>
  <c r="D1294" i="5"/>
  <c r="F1293" i="5"/>
  <c r="E1293" i="5"/>
  <c r="D1293" i="5"/>
  <c r="F1292" i="5"/>
  <c r="E1292" i="5"/>
  <c r="D1292" i="5"/>
  <c r="F1291" i="5"/>
  <c r="E1291" i="5"/>
  <c r="D1291" i="5"/>
  <c r="F1290" i="5"/>
  <c r="E1290" i="5"/>
  <c r="D1290" i="5"/>
  <c r="F1289" i="5"/>
  <c r="E1289" i="5"/>
  <c r="D1289" i="5"/>
  <c r="F1288" i="5"/>
  <c r="E1288" i="5"/>
  <c r="D1288" i="5"/>
  <c r="F1287" i="5"/>
  <c r="E1287" i="5"/>
  <c r="D1287" i="5"/>
  <c r="F1286" i="5"/>
  <c r="E1286" i="5"/>
  <c r="D1286" i="5"/>
  <c r="F1285" i="5"/>
  <c r="E1285" i="5"/>
  <c r="D1285" i="5"/>
  <c r="F1284" i="5"/>
  <c r="E1284" i="5"/>
  <c r="D1284" i="5"/>
  <c r="F1283" i="5"/>
  <c r="E1283" i="5"/>
  <c r="D1283" i="5"/>
  <c r="F1282" i="5"/>
  <c r="E1282" i="5"/>
  <c r="D1282" i="5"/>
  <c r="F1281" i="5"/>
  <c r="E1281" i="5"/>
  <c r="D1281" i="5"/>
  <c r="F1280" i="5"/>
  <c r="E1280" i="5"/>
  <c r="D1280" i="5"/>
  <c r="F1279" i="5"/>
  <c r="E1279" i="5"/>
  <c r="D1279" i="5"/>
  <c r="F1278" i="5"/>
  <c r="E1278" i="5"/>
  <c r="D1278" i="5"/>
  <c r="F1277" i="5"/>
  <c r="E1277" i="5"/>
  <c r="D1277" i="5"/>
  <c r="F1276" i="5"/>
  <c r="E1276" i="5"/>
  <c r="D1276" i="5"/>
  <c r="F1275" i="5"/>
  <c r="E1275" i="5"/>
  <c r="D1275" i="5"/>
  <c r="F1274" i="5"/>
  <c r="E1274" i="5"/>
  <c r="D1274" i="5"/>
  <c r="F1273" i="5"/>
  <c r="E1273" i="5"/>
  <c r="D1273" i="5"/>
  <c r="F1272" i="5"/>
  <c r="E1272" i="5"/>
  <c r="D1272" i="5"/>
  <c r="F1271" i="5"/>
  <c r="E1271" i="5"/>
  <c r="D1271" i="5"/>
  <c r="F1270" i="5"/>
  <c r="E1270" i="5"/>
  <c r="D1270" i="5"/>
  <c r="F1269" i="5"/>
  <c r="E1269" i="5"/>
  <c r="D1269" i="5"/>
  <c r="F1268" i="5"/>
  <c r="E1268" i="5"/>
  <c r="D1268" i="5"/>
  <c r="F1267" i="5"/>
  <c r="E1267" i="5"/>
  <c r="D1267" i="5"/>
  <c r="F1266" i="5"/>
  <c r="E1266" i="5"/>
  <c r="D1266" i="5"/>
  <c r="F1265" i="5"/>
  <c r="E1265" i="5"/>
  <c r="D1265" i="5"/>
  <c r="F1264" i="5"/>
  <c r="E1264" i="5"/>
  <c r="D1264" i="5"/>
  <c r="F1263" i="5"/>
  <c r="E1263" i="5"/>
  <c r="D1263" i="5"/>
  <c r="F1262" i="5"/>
  <c r="E1262" i="5"/>
  <c r="D1262" i="5"/>
  <c r="F1261" i="5"/>
  <c r="E1261" i="5"/>
  <c r="D1261" i="5"/>
  <c r="F1260" i="5"/>
  <c r="E1260" i="5"/>
  <c r="D1260" i="5"/>
  <c r="F1259" i="5"/>
  <c r="E1259" i="5"/>
  <c r="D1259" i="5"/>
  <c r="F1258" i="5"/>
  <c r="E1258" i="5"/>
  <c r="D1258" i="5"/>
  <c r="F1257" i="5"/>
  <c r="E1257" i="5"/>
  <c r="D1257" i="5"/>
  <c r="F1256" i="5"/>
  <c r="E1256" i="5"/>
  <c r="D1256" i="5"/>
  <c r="F1255" i="5"/>
  <c r="E1255" i="5"/>
  <c r="D1255" i="5"/>
  <c r="F1254" i="5"/>
  <c r="E1254" i="5"/>
  <c r="D1254" i="5"/>
  <c r="F1253" i="5"/>
  <c r="E1253" i="5"/>
  <c r="D1253" i="5"/>
  <c r="F1252" i="5"/>
  <c r="E1252" i="5"/>
  <c r="D1252" i="5"/>
  <c r="F1251" i="5"/>
  <c r="E1251" i="5"/>
  <c r="D1251" i="5"/>
  <c r="F1250" i="5"/>
  <c r="E1250" i="5"/>
  <c r="D1250" i="5"/>
  <c r="F1249" i="5"/>
  <c r="E1249" i="5"/>
  <c r="D1249" i="5"/>
  <c r="F1248" i="5"/>
  <c r="E1248" i="5"/>
  <c r="D1248" i="5"/>
  <c r="F1247" i="5"/>
  <c r="E1247" i="5"/>
  <c r="D1247" i="5"/>
  <c r="F1246" i="5"/>
  <c r="E1246" i="5"/>
  <c r="D1246" i="5"/>
  <c r="F1245" i="5"/>
  <c r="E1245" i="5"/>
  <c r="D1245" i="5"/>
  <c r="F1244" i="5"/>
  <c r="E1244" i="5"/>
  <c r="D1244" i="5"/>
  <c r="F1243" i="5"/>
  <c r="E1243" i="5"/>
  <c r="D1243" i="5"/>
  <c r="F1242" i="5"/>
  <c r="E1242" i="5"/>
  <c r="D1242" i="5"/>
  <c r="F1241" i="5"/>
  <c r="E1241" i="5"/>
  <c r="D1241" i="5"/>
  <c r="F1240" i="5"/>
  <c r="E1240" i="5"/>
  <c r="D1240" i="5"/>
  <c r="F1239" i="5"/>
  <c r="E1239" i="5"/>
  <c r="D1239" i="5"/>
  <c r="F1238" i="5"/>
  <c r="E1238" i="5"/>
  <c r="D1238" i="5"/>
  <c r="F1237" i="5"/>
  <c r="E1237" i="5"/>
  <c r="D1237" i="5"/>
  <c r="F1236" i="5"/>
  <c r="E1236" i="5"/>
  <c r="D1236" i="5"/>
  <c r="F1235" i="5"/>
  <c r="E1235" i="5"/>
  <c r="D1235" i="5"/>
  <c r="F1234" i="5"/>
  <c r="E1234" i="5"/>
  <c r="D1234" i="5"/>
  <c r="F1233" i="5"/>
  <c r="E1233" i="5"/>
  <c r="D1233" i="5"/>
  <c r="F1232" i="5"/>
  <c r="E1232" i="5"/>
  <c r="D1232" i="5"/>
  <c r="F1231" i="5"/>
  <c r="E1231" i="5"/>
  <c r="D1231" i="5"/>
  <c r="F1230" i="5"/>
  <c r="E1230" i="5"/>
  <c r="D1230" i="5"/>
  <c r="F1229" i="5"/>
  <c r="E1229" i="5"/>
  <c r="D1229" i="5"/>
  <c r="F1228" i="5"/>
  <c r="E1228" i="5"/>
  <c r="D1228" i="5"/>
  <c r="F1227" i="5"/>
  <c r="E1227" i="5"/>
  <c r="D1227" i="5"/>
  <c r="F1226" i="5"/>
  <c r="E1226" i="5"/>
  <c r="D1226" i="5"/>
  <c r="F1225" i="5"/>
  <c r="E1225" i="5"/>
  <c r="D1225" i="5"/>
  <c r="F1224" i="5"/>
  <c r="E1224" i="5"/>
  <c r="D1224" i="5"/>
  <c r="F1223" i="5"/>
  <c r="E1223" i="5"/>
  <c r="D1223" i="5"/>
  <c r="F1222" i="5"/>
  <c r="E1222" i="5"/>
  <c r="D1222" i="5"/>
  <c r="F1221" i="5"/>
  <c r="E1221" i="5"/>
  <c r="D1221" i="5"/>
  <c r="F1220" i="5"/>
  <c r="E1220" i="5"/>
  <c r="D1220" i="5"/>
  <c r="F1219" i="5"/>
  <c r="E1219" i="5"/>
  <c r="D1219" i="5"/>
  <c r="F1218" i="5"/>
  <c r="E1218" i="5"/>
  <c r="D1218" i="5"/>
  <c r="F1217" i="5"/>
  <c r="E1217" i="5"/>
  <c r="D1217" i="5"/>
  <c r="F1216" i="5"/>
  <c r="E1216" i="5"/>
  <c r="D1216" i="5"/>
  <c r="F1215" i="5"/>
  <c r="E1215" i="5"/>
  <c r="D1215" i="5"/>
  <c r="F1214" i="5"/>
  <c r="E1214" i="5"/>
  <c r="D1214" i="5"/>
  <c r="F1213" i="5"/>
  <c r="E1213" i="5"/>
  <c r="D1213" i="5"/>
  <c r="F1212" i="5"/>
  <c r="E1212" i="5"/>
  <c r="D1212" i="5"/>
  <c r="F1211" i="5"/>
  <c r="E1211" i="5"/>
  <c r="D1211" i="5"/>
  <c r="F1210" i="5"/>
  <c r="E1210" i="5"/>
  <c r="D1210" i="5"/>
  <c r="F1209" i="5"/>
  <c r="E1209" i="5"/>
  <c r="D1209" i="5"/>
  <c r="F1208" i="5"/>
  <c r="E1208" i="5"/>
  <c r="D1208" i="5"/>
  <c r="F1207" i="5"/>
  <c r="E1207" i="5"/>
  <c r="D1207" i="5"/>
  <c r="F1206" i="5"/>
  <c r="E1206" i="5"/>
  <c r="D1206" i="5"/>
  <c r="F1205" i="5"/>
  <c r="E1205" i="5"/>
  <c r="D1205" i="5"/>
  <c r="F1204" i="5"/>
  <c r="E1204" i="5"/>
  <c r="D1204" i="5"/>
  <c r="F1203" i="5"/>
  <c r="E1203" i="5"/>
  <c r="D1203" i="5"/>
  <c r="F1202" i="5"/>
  <c r="E1202" i="5"/>
  <c r="D1202" i="5"/>
  <c r="F1201" i="5"/>
  <c r="E1201" i="5"/>
  <c r="D1201" i="5"/>
  <c r="F1200" i="5"/>
  <c r="E1200" i="5"/>
  <c r="D1200" i="5"/>
  <c r="F1199" i="5"/>
  <c r="E1199" i="5"/>
  <c r="D1199" i="5"/>
  <c r="F1198" i="5"/>
  <c r="E1198" i="5"/>
  <c r="D1198" i="5"/>
  <c r="F1197" i="5"/>
  <c r="E1197" i="5"/>
  <c r="D1197" i="5"/>
  <c r="F1196" i="5"/>
  <c r="E1196" i="5"/>
  <c r="D1196" i="5"/>
  <c r="F1195" i="5"/>
  <c r="E1195" i="5"/>
  <c r="D1195" i="5"/>
  <c r="F1194" i="5"/>
  <c r="E1194" i="5"/>
  <c r="D1194" i="5"/>
  <c r="F1193" i="5"/>
  <c r="E1193" i="5"/>
  <c r="D1193" i="5"/>
  <c r="F1192" i="5"/>
  <c r="E1192" i="5"/>
  <c r="D1192" i="5"/>
  <c r="F1191" i="5"/>
  <c r="E1191" i="5"/>
  <c r="D1191" i="5"/>
  <c r="F1190" i="5"/>
  <c r="E1190" i="5"/>
  <c r="D1190" i="5"/>
  <c r="F1189" i="5"/>
  <c r="E1189" i="5"/>
  <c r="D1189" i="5"/>
  <c r="F1188" i="5"/>
  <c r="E1188" i="5"/>
  <c r="D1188" i="5"/>
  <c r="F1187" i="5"/>
  <c r="E1187" i="5"/>
  <c r="D1187" i="5"/>
  <c r="F1186" i="5"/>
  <c r="E1186" i="5"/>
  <c r="D1186" i="5"/>
  <c r="F1185" i="5"/>
  <c r="E1185" i="5"/>
  <c r="D1185" i="5"/>
  <c r="F1184" i="5"/>
  <c r="E1184" i="5"/>
  <c r="D1184" i="5"/>
  <c r="F1183" i="5"/>
  <c r="E1183" i="5"/>
  <c r="D1183" i="5"/>
  <c r="F1182" i="5"/>
  <c r="E1182" i="5"/>
  <c r="D1182" i="5"/>
  <c r="F1181" i="5"/>
  <c r="E1181" i="5"/>
  <c r="D1181" i="5"/>
  <c r="F1180" i="5"/>
  <c r="E1180" i="5"/>
  <c r="D1180" i="5"/>
  <c r="F1179" i="5"/>
  <c r="E1179" i="5"/>
  <c r="D1179" i="5"/>
  <c r="F1178" i="5"/>
  <c r="E1178" i="5"/>
  <c r="D1178" i="5"/>
  <c r="F1177" i="5"/>
  <c r="E1177" i="5"/>
  <c r="D1177" i="5"/>
  <c r="F1176" i="5"/>
  <c r="E1176" i="5"/>
  <c r="D1176" i="5"/>
  <c r="F1175" i="5"/>
  <c r="E1175" i="5"/>
  <c r="D1175" i="5"/>
  <c r="F1174" i="5"/>
  <c r="E1174" i="5"/>
  <c r="D1174" i="5"/>
  <c r="F1173" i="5"/>
  <c r="E1173" i="5"/>
  <c r="D1173" i="5"/>
  <c r="F1172" i="5"/>
  <c r="E1172" i="5"/>
  <c r="D1172" i="5"/>
  <c r="F1171" i="5"/>
  <c r="E1171" i="5"/>
  <c r="D1171" i="5"/>
  <c r="F1170" i="5"/>
  <c r="E1170" i="5"/>
  <c r="D1170" i="5"/>
  <c r="F1169" i="5"/>
  <c r="E1169" i="5"/>
  <c r="D1169" i="5"/>
  <c r="F1168" i="5"/>
  <c r="E1168" i="5"/>
  <c r="D1168" i="5"/>
  <c r="F1167" i="5"/>
  <c r="E1167" i="5"/>
  <c r="D1167" i="5"/>
  <c r="F1166" i="5"/>
  <c r="E1166" i="5"/>
  <c r="D1166" i="5"/>
  <c r="F1165" i="5"/>
  <c r="E1165" i="5"/>
  <c r="D1165" i="5"/>
  <c r="F1164" i="5"/>
  <c r="E1164" i="5"/>
  <c r="D1164" i="5"/>
  <c r="F1163" i="5"/>
  <c r="E1163" i="5"/>
  <c r="D1163" i="5"/>
  <c r="F1162" i="5"/>
  <c r="E1162" i="5"/>
  <c r="D1162" i="5"/>
  <c r="F1161" i="5"/>
  <c r="E1161" i="5"/>
  <c r="D1161" i="5"/>
  <c r="F1160" i="5"/>
  <c r="E1160" i="5"/>
  <c r="D1160" i="5"/>
  <c r="F1159" i="5"/>
  <c r="E1159" i="5"/>
  <c r="D1159" i="5"/>
  <c r="F1158" i="5"/>
  <c r="E1158" i="5"/>
  <c r="D1158" i="5"/>
  <c r="F1157" i="5"/>
  <c r="E1157" i="5"/>
  <c r="D1157" i="5"/>
  <c r="F1156" i="5"/>
  <c r="E1156" i="5"/>
  <c r="D1156" i="5"/>
  <c r="F1155" i="5"/>
  <c r="E1155" i="5"/>
  <c r="D1155" i="5"/>
  <c r="F1154" i="5"/>
  <c r="E1154" i="5"/>
  <c r="D1154" i="5"/>
  <c r="F1153" i="5"/>
  <c r="E1153" i="5"/>
  <c r="D1153" i="5"/>
  <c r="F1152" i="5"/>
  <c r="E1152" i="5"/>
  <c r="D1152" i="5"/>
  <c r="F1151" i="5"/>
  <c r="E1151" i="5"/>
  <c r="D1151" i="5"/>
  <c r="F1150" i="5"/>
  <c r="E1150" i="5"/>
  <c r="D1150" i="5"/>
  <c r="F1149" i="5"/>
  <c r="E1149" i="5"/>
  <c r="D1149" i="5"/>
  <c r="F1148" i="5"/>
  <c r="E1148" i="5"/>
  <c r="D1148" i="5"/>
  <c r="F1147" i="5"/>
  <c r="E1147" i="5"/>
  <c r="D1147" i="5"/>
  <c r="F1146" i="5"/>
  <c r="E1146" i="5"/>
  <c r="D1146" i="5"/>
  <c r="F1145" i="5"/>
  <c r="E1145" i="5"/>
  <c r="D1145" i="5"/>
  <c r="F1144" i="5"/>
  <c r="E1144" i="5"/>
  <c r="D1144" i="5"/>
  <c r="F1143" i="5"/>
  <c r="E1143" i="5"/>
  <c r="D1143" i="5"/>
  <c r="F1142" i="5"/>
  <c r="E1142" i="5"/>
  <c r="D1142" i="5"/>
  <c r="F1141" i="5"/>
  <c r="E1141" i="5"/>
  <c r="D1141" i="5"/>
  <c r="F1140" i="5"/>
  <c r="E1140" i="5"/>
  <c r="D1140" i="5"/>
  <c r="F1139" i="5"/>
  <c r="E1139" i="5"/>
  <c r="D1139" i="5"/>
  <c r="F1138" i="5"/>
  <c r="E1138" i="5"/>
  <c r="D1138" i="5"/>
  <c r="F1137" i="5"/>
  <c r="E1137" i="5"/>
  <c r="D1137" i="5"/>
  <c r="F1136" i="5"/>
  <c r="E1136" i="5"/>
  <c r="D1136" i="5"/>
  <c r="F1135" i="5"/>
  <c r="E1135" i="5"/>
  <c r="D1135" i="5"/>
  <c r="F1134" i="5"/>
  <c r="E1134" i="5"/>
  <c r="D1134" i="5"/>
  <c r="F1133" i="5"/>
  <c r="E1133" i="5"/>
  <c r="D1133" i="5"/>
  <c r="F1132" i="5"/>
  <c r="E1132" i="5"/>
  <c r="D1132" i="5"/>
  <c r="F1131" i="5"/>
  <c r="E1131" i="5"/>
  <c r="D1131" i="5"/>
  <c r="F1130" i="5"/>
  <c r="E1130" i="5"/>
  <c r="D1130" i="5"/>
  <c r="F1129" i="5"/>
  <c r="E1129" i="5"/>
  <c r="D1129" i="5"/>
  <c r="F1128" i="5"/>
  <c r="E1128" i="5"/>
  <c r="D1128" i="5"/>
  <c r="F1127" i="5"/>
  <c r="E1127" i="5"/>
  <c r="D1127" i="5"/>
  <c r="F1126" i="5"/>
  <c r="E1126" i="5"/>
  <c r="D1126" i="5"/>
  <c r="F1125" i="5"/>
  <c r="E1125" i="5"/>
  <c r="D1125" i="5"/>
  <c r="F1124" i="5"/>
  <c r="E1124" i="5"/>
  <c r="D1124" i="5"/>
  <c r="F1123" i="5"/>
  <c r="E1123" i="5"/>
  <c r="D1123" i="5"/>
  <c r="F1122" i="5"/>
  <c r="E1122" i="5"/>
  <c r="D1122" i="5"/>
  <c r="F1121" i="5"/>
  <c r="E1121" i="5"/>
  <c r="D1121" i="5"/>
  <c r="F1120" i="5"/>
  <c r="E1120" i="5"/>
  <c r="D1120" i="5"/>
  <c r="F1119" i="5"/>
  <c r="E1119" i="5"/>
  <c r="D1119" i="5"/>
  <c r="F1118" i="5"/>
  <c r="E1118" i="5"/>
  <c r="D1118" i="5"/>
  <c r="F1117" i="5"/>
  <c r="E1117" i="5"/>
  <c r="D1117" i="5"/>
  <c r="F1116" i="5"/>
  <c r="E1116" i="5"/>
  <c r="D1116" i="5"/>
  <c r="F1115" i="5"/>
  <c r="E1115" i="5"/>
  <c r="D1115" i="5"/>
  <c r="F1114" i="5"/>
  <c r="E1114" i="5"/>
  <c r="D1114" i="5"/>
  <c r="F1113" i="5"/>
  <c r="E1113" i="5"/>
  <c r="D1113" i="5"/>
  <c r="F1112" i="5"/>
  <c r="E1112" i="5"/>
  <c r="D1112" i="5"/>
  <c r="F1111" i="5"/>
  <c r="E1111" i="5"/>
  <c r="D1111" i="5"/>
  <c r="F1110" i="5"/>
  <c r="E1110" i="5"/>
  <c r="D1110" i="5"/>
  <c r="F1109" i="5"/>
  <c r="E1109" i="5"/>
  <c r="D1109" i="5"/>
  <c r="F1108" i="5"/>
  <c r="E1108" i="5"/>
  <c r="D1108" i="5"/>
  <c r="F1107" i="5"/>
  <c r="E1107" i="5"/>
  <c r="D1107" i="5"/>
  <c r="F1106" i="5"/>
  <c r="E1106" i="5"/>
  <c r="D1106" i="5"/>
  <c r="F1105" i="5"/>
  <c r="E1105" i="5"/>
  <c r="D1105" i="5"/>
  <c r="F1104" i="5"/>
  <c r="E1104" i="5"/>
  <c r="D1104" i="5"/>
  <c r="F1103" i="5"/>
  <c r="E1103" i="5"/>
  <c r="D1103" i="5"/>
  <c r="F1102" i="5"/>
  <c r="E1102" i="5"/>
  <c r="D1102" i="5"/>
  <c r="F1101" i="5"/>
  <c r="E1101" i="5"/>
  <c r="D1101" i="5"/>
  <c r="F1100" i="5"/>
  <c r="E1100" i="5"/>
  <c r="D1100" i="5"/>
  <c r="F1099" i="5"/>
  <c r="E1099" i="5"/>
  <c r="D1099" i="5"/>
  <c r="F1098" i="5"/>
  <c r="E1098" i="5"/>
  <c r="D1098" i="5"/>
  <c r="F1097" i="5"/>
  <c r="E1097" i="5"/>
  <c r="D1097" i="5"/>
  <c r="F1096" i="5"/>
  <c r="E1096" i="5"/>
  <c r="D1096" i="5"/>
  <c r="F1095" i="5"/>
  <c r="E1095" i="5"/>
  <c r="D1095" i="5"/>
  <c r="F1094" i="5"/>
  <c r="E1094" i="5"/>
  <c r="D1094" i="5"/>
  <c r="F1093" i="5"/>
  <c r="E1093" i="5"/>
  <c r="D1093" i="5"/>
  <c r="F1092" i="5"/>
  <c r="E1092" i="5"/>
  <c r="D1092" i="5"/>
  <c r="F1091" i="5"/>
  <c r="E1091" i="5"/>
  <c r="D1091" i="5"/>
  <c r="F1090" i="5"/>
  <c r="E1090" i="5"/>
  <c r="D1090" i="5"/>
  <c r="F1089" i="5"/>
  <c r="E1089" i="5"/>
  <c r="D1089" i="5"/>
  <c r="F1088" i="5"/>
  <c r="E1088" i="5"/>
  <c r="D1088" i="5"/>
  <c r="F1087" i="5"/>
  <c r="E1087" i="5"/>
  <c r="D1087" i="5"/>
  <c r="F1086" i="5"/>
  <c r="E1086" i="5"/>
  <c r="D1086" i="5"/>
  <c r="F1085" i="5"/>
  <c r="E1085" i="5"/>
  <c r="D1085" i="5"/>
  <c r="F1084" i="5"/>
  <c r="E1084" i="5"/>
  <c r="D1084" i="5"/>
  <c r="F1083" i="5"/>
  <c r="E1083" i="5"/>
  <c r="D1083" i="5"/>
  <c r="F1082" i="5"/>
  <c r="E1082" i="5"/>
  <c r="D1082" i="5"/>
  <c r="F1081" i="5"/>
  <c r="E1081" i="5"/>
  <c r="D1081" i="5"/>
  <c r="F1080" i="5"/>
  <c r="E1080" i="5"/>
  <c r="D1080" i="5"/>
  <c r="F1079" i="5"/>
  <c r="E1079" i="5"/>
  <c r="D1079" i="5"/>
  <c r="F1078" i="5"/>
  <c r="E1078" i="5"/>
  <c r="D1078" i="5"/>
  <c r="F1077" i="5"/>
  <c r="E1077" i="5"/>
  <c r="D1077" i="5"/>
  <c r="F1076" i="5"/>
  <c r="E1076" i="5"/>
  <c r="D1076" i="5"/>
  <c r="F1075" i="5"/>
  <c r="E1075" i="5"/>
  <c r="D1075" i="5"/>
  <c r="F1074" i="5"/>
  <c r="E1074" i="5"/>
  <c r="D1074" i="5"/>
  <c r="F1073" i="5"/>
  <c r="E1073" i="5"/>
  <c r="D1073" i="5"/>
  <c r="F1072" i="5"/>
  <c r="E1072" i="5"/>
  <c r="D1072" i="5"/>
  <c r="F1071" i="5"/>
  <c r="E1071" i="5"/>
  <c r="D1071" i="5"/>
  <c r="F1070" i="5"/>
  <c r="E1070" i="5"/>
  <c r="D1070" i="5"/>
  <c r="F1069" i="5"/>
  <c r="E1069" i="5"/>
  <c r="D1069" i="5"/>
  <c r="F1068" i="5"/>
  <c r="E1068" i="5"/>
  <c r="D1068" i="5"/>
  <c r="F1067" i="5"/>
  <c r="E1067" i="5"/>
  <c r="D1067" i="5"/>
  <c r="F1066" i="5"/>
  <c r="E1066" i="5"/>
  <c r="D1066" i="5"/>
  <c r="F1065" i="5"/>
  <c r="E1065" i="5"/>
  <c r="D1065" i="5"/>
  <c r="F1064" i="5"/>
  <c r="E1064" i="5"/>
  <c r="D1064" i="5"/>
  <c r="F1063" i="5"/>
  <c r="E1063" i="5"/>
  <c r="D1063" i="5"/>
  <c r="F1062" i="5"/>
  <c r="E1062" i="5"/>
  <c r="D1062" i="5"/>
  <c r="F1061" i="5"/>
  <c r="E1061" i="5"/>
  <c r="D1061" i="5"/>
  <c r="F1060" i="5"/>
  <c r="E1060" i="5"/>
  <c r="D1060" i="5"/>
  <c r="F1059" i="5"/>
  <c r="E1059" i="5"/>
  <c r="D1059" i="5"/>
  <c r="F1058" i="5"/>
  <c r="E1058" i="5"/>
  <c r="D1058" i="5"/>
  <c r="F1057" i="5"/>
  <c r="E1057" i="5"/>
  <c r="D1057" i="5"/>
  <c r="F1056" i="5"/>
  <c r="E1056" i="5"/>
  <c r="D1056" i="5"/>
  <c r="F1055" i="5"/>
  <c r="E1055" i="5"/>
  <c r="D1055" i="5"/>
  <c r="F1054" i="5"/>
  <c r="E1054" i="5"/>
  <c r="D1054" i="5"/>
  <c r="F1053" i="5"/>
  <c r="E1053" i="5"/>
  <c r="D1053" i="5"/>
  <c r="F1052" i="5"/>
  <c r="E1052" i="5"/>
  <c r="D1052" i="5"/>
  <c r="F1051" i="5"/>
  <c r="E1051" i="5"/>
  <c r="D1051" i="5"/>
  <c r="F1050" i="5"/>
  <c r="E1050" i="5"/>
  <c r="D1050" i="5"/>
  <c r="F1049" i="5"/>
  <c r="E1049" i="5"/>
  <c r="D1049" i="5"/>
  <c r="F1048" i="5"/>
  <c r="E1048" i="5"/>
  <c r="D1048" i="5"/>
  <c r="F1047" i="5"/>
  <c r="E1047" i="5"/>
  <c r="D1047" i="5"/>
  <c r="F1046" i="5"/>
  <c r="E1046" i="5"/>
  <c r="D1046" i="5"/>
  <c r="F1045" i="5"/>
  <c r="E1045" i="5"/>
  <c r="D1045" i="5"/>
  <c r="F1044" i="5"/>
  <c r="E1044" i="5"/>
  <c r="D1044" i="5"/>
  <c r="F1043" i="5"/>
  <c r="E1043" i="5"/>
  <c r="D1043" i="5"/>
  <c r="F1042" i="5"/>
  <c r="E1042" i="5"/>
  <c r="D1042" i="5"/>
  <c r="F1041" i="5"/>
  <c r="E1041" i="5"/>
  <c r="D1041" i="5"/>
  <c r="F1040" i="5"/>
  <c r="E1040" i="5"/>
  <c r="D1040" i="5"/>
  <c r="F1039" i="5"/>
  <c r="E1039" i="5"/>
  <c r="D1039" i="5"/>
  <c r="F1038" i="5"/>
  <c r="E1038" i="5"/>
  <c r="D1038" i="5"/>
  <c r="F1037" i="5"/>
  <c r="E1037" i="5"/>
  <c r="D1037" i="5"/>
  <c r="F1036" i="5"/>
  <c r="E1036" i="5"/>
  <c r="D1036" i="5"/>
  <c r="F1035" i="5"/>
  <c r="E1035" i="5"/>
  <c r="D1035" i="5"/>
  <c r="F1034" i="5"/>
  <c r="E1034" i="5"/>
  <c r="D1034" i="5"/>
  <c r="F1033" i="5"/>
  <c r="E1033" i="5"/>
  <c r="D1033" i="5"/>
  <c r="F1032" i="5"/>
  <c r="E1032" i="5"/>
  <c r="D1032" i="5"/>
  <c r="F1031" i="5"/>
  <c r="E1031" i="5"/>
  <c r="D1031" i="5"/>
  <c r="F1030" i="5"/>
  <c r="E1030" i="5"/>
  <c r="D1030" i="5"/>
  <c r="F1029" i="5"/>
  <c r="E1029" i="5"/>
  <c r="D1029" i="5"/>
  <c r="F1028" i="5"/>
  <c r="E1028" i="5"/>
  <c r="D1028" i="5"/>
  <c r="F1027" i="5"/>
  <c r="E1027" i="5"/>
  <c r="D1027" i="5"/>
  <c r="F1026" i="5"/>
  <c r="E1026" i="5"/>
  <c r="D1026" i="5"/>
  <c r="F1025" i="5"/>
  <c r="E1025" i="5"/>
  <c r="D1025" i="5"/>
  <c r="F1024" i="5"/>
  <c r="E1024" i="5"/>
  <c r="D1024" i="5"/>
  <c r="F1023" i="5"/>
  <c r="E1023" i="5"/>
  <c r="D1023" i="5"/>
  <c r="F1022" i="5"/>
  <c r="E1022" i="5"/>
  <c r="D1022" i="5"/>
  <c r="F1021" i="5"/>
  <c r="E1021" i="5"/>
  <c r="D1021" i="5"/>
  <c r="F1020" i="5"/>
  <c r="E1020" i="5"/>
  <c r="D1020" i="5"/>
  <c r="F1019" i="5"/>
  <c r="E1019" i="5"/>
  <c r="D1019" i="5"/>
  <c r="F1018" i="5"/>
  <c r="E1018" i="5"/>
  <c r="D1018" i="5"/>
  <c r="F1017" i="5"/>
  <c r="E1017" i="5"/>
  <c r="D1017" i="5"/>
  <c r="F1016" i="5"/>
  <c r="E1016" i="5"/>
  <c r="D1016" i="5"/>
  <c r="F1015" i="5"/>
  <c r="E1015" i="5"/>
  <c r="D1015" i="5"/>
  <c r="F1014" i="5"/>
  <c r="E1014" i="5"/>
  <c r="D1014" i="5"/>
  <c r="F1013" i="5"/>
  <c r="E1013" i="5"/>
  <c r="D1013" i="5"/>
  <c r="F1012" i="5"/>
  <c r="E1012" i="5"/>
  <c r="D1012" i="5"/>
  <c r="F1011" i="5"/>
  <c r="E1011" i="5"/>
  <c r="D1011" i="5"/>
  <c r="F1010" i="5"/>
  <c r="E1010" i="5"/>
  <c r="D1010" i="5"/>
  <c r="F1009" i="5"/>
  <c r="E1009" i="5"/>
  <c r="D1009" i="5"/>
  <c r="F1008" i="5"/>
  <c r="E1008" i="5"/>
  <c r="D1008" i="5"/>
  <c r="F1007" i="5"/>
  <c r="E1007" i="5"/>
  <c r="D1007" i="5"/>
  <c r="F1006" i="5"/>
  <c r="E1006" i="5"/>
  <c r="D1006" i="5"/>
  <c r="F1005" i="5"/>
  <c r="E1005" i="5"/>
  <c r="D1005" i="5"/>
  <c r="F1004" i="5"/>
  <c r="E1004" i="5"/>
  <c r="D1004" i="5"/>
  <c r="F1003" i="5"/>
  <c r="E1003" i="5"/>
  <c r="D1003" i="5"/>
  <c r="F1002" i="5"/>
  <c r="E1002" i="5"/>
  <c r="D1002" i="5"/>
  <c r="F1001" i="5"/>
  <c r="E1001" i="5"/>
  <c r="D1001" i="5"/>
  <c r="F1000" i="5"/>
  <c r="E1000" i="5"/>
  <c r="D1000" i="5"/>
  <c r="F999" i="5"/>
  <c r="E999" i="5"/>
  <c r="D999" i="5"/>
  <c r="F998" i="5"/>
  <c r="E998" i="5"/>
  <c r="D998" i="5"/>
  <c r="F997" i="5"/>
  <c r="E997" i="5"/>
  <c r="D997" i="5"/>
  <c r="F996" i="5"/>
  <c r="E996" i="5"/>
  <c r="D996" i="5"/>
  <c r="F995" i="5"/>
  <c r="E995" i="5"/>
  <c r="D995" i="5"/>
  <c r="F994" i="5"/>
  <c r="E994" i="5"/>
  <c r="D994" i="5"/>
  <c r="F993" i="5"/>
  <c r="E993" i="5"/>
  <c r="D993" i="5"/>
  <c r="F992" i="5"/>
  <c r="E992" i="5"/>
  <c r="D992" i="5"/>
  <c r="F991" i="5"/>
  <c r="E991" i="5"/>
  <c r="D991" i="5"/>
  <c r="F990" i="5"/>
  <c r="E990" i="5"/>
  <c r="D990" i="5"/>
  <c r="F989" i="5"/>
  <c r="E989" i="5"/>
  <c r="D989" i="5"/>
  <c r="F988" i="5"/>
  <c r="E988" i="5"/>
  <c r="D988" i="5"/>
  <c r="F987" i="5"/>
  <c r="E987" i="5"/>
  <c r="D987" i="5"/>
  <c r="F986" i="5"/>
  <c r="E986" i="5"/>
  <c r="D986" i="5"/>
  <c r="F985" i="5"/>
  <c r="E985" i="5"/>
  <c r="D985" i="5"/>
  <c r="F984" i="5"/>
  <c r="E984" i="5"/>
  <c r="D984" i="5"/>
  <c r="F983" i="5"/>
  <c r="E983" i="5"/>
  <c r="D983" i="5"/>
  <c r="F982" i="5"/>
  <c r="E982" i="5"/>
  <c r="D982" i="5"/>
  <c r="F981" i="5"/>
  <c r="E981" i="5"/>
  <c r="D981" i="5"/>
  <c r="F980" i="5"/>
  <c r="E980" i="5"/>
  <c r="D980" i="5"/>
  <c r="F979" i="5"/>
  <c r="E979" i="5"/>
  <c r="D979" i="5"/>
  <c r="F978" i="5"/>
  <c r="E978" i="5"/>
  <c r="D978" i="5"/>
  <c r="F977" i="5"/>
  <c r="E977" i="5"/>
  <c r="D977" i="5"/>
  <c r="F976" i="5"/>
  <c r="E976" i="5"/>
  <c r="D976" i="5"/>
  <c r="F975" i="5"/>
  <c r="E975" i="5"/>
  <c r="D975" i="5"/>
  <c r="F974" i="5"/>
  <c r="E974" i="5"/>
  <c r="D974" i="5"/>
  <c r="F973" i="5"/>
  <c r="E973" i="5"/>
  <c r="D973" i="5"/>
  <c r="F972" i="5"/>
  <c r="E972" i="5"/>
  <c r="D972" i="5"/>
  <c r="F971" i="5"/>
  <c r="E971" i="5"/>
  <c r="D971" i="5"/>
  <c r="F970" i="5"/>
  <c r="E970" i="5"/>
  <c r="D970" i="5"/>
  <c r="F969" i="5"/>
  <c r="E969" i="5"/>
  <c r="D969" i="5"/>
  <c r="F968" i="5"/>
  <c r="E968" i="5"/>
  <c r="D968" i="5"/>
  <c r="F967" i="5"/>
  <c r="E967" i="5"/>
  <c r="D967" i="5"/>
  <c r="F966" i="5"/>
  <c r="E966" i="5"/>
  <c r="D966" i="5"/>
  <c r="F965" i="5"/>
  <c r="E965" i="5"/>
  <c r="D965" i="5"/>
  <c r="F964" i="5"/>
  <c r="E964" i="5"/>
  <c r="D964" i="5"/>
  <c r="F963" i="5"/>
  <c r="E963" i="5"/>
  <c r="D963" i="5"/>
  <c r="F962" i="5"/>
  <c r="E962" i="5"/>
  <c r="D962" i="5"/>
  <c r="F961" i="5"/>
  <c r="E961" i="5"/>
  <c r="D961" i="5"/>
  <c r="F960" i="5"/>
  <c r="E960" i="5"/>
  <c r="D960" i="5"/>
  <c r="F959" i="5"/>
  <c r="E959" i="5"/>
  <c r="D959" i="5"/>
  <c r="F958" i="5"/>
  <c r="E958" i="5"/>
  <c r="D958" i="5"/>
  <c r="F957" i="5"/>
  <c r="E957" i="5"/>
  <c r="D957" i="5"/>
  <c r="F956" i="5"/>
  <c r="E956" i="5"/>
  <c r="D956" i="5"/>
  <c r="F955" i="5"/>
  <c r="E955" i="5"/>
  <c r="D955" i="5"/>
  <c r="F954" i="5"/>
  <c r="E954" i="5"/>
  <c r="D954" i="5"/>
  <c r="F953" i="5"/>
  <c r="E953" i="5"/>
  <c r="D953" i="5"/>
  <c r="F952" i="5"/>
  <c r="E952" i="5"/>
  <c r="D952" i="5"/>
  <c r="F951" i="5"/>
  <c r="E951" i="5"/>
  <c r="D951" i="5"/>
  <c r="F950" i="5"/>
  <c r="E950" i="5"/>
  <c r="D950" i="5"/>
  <c r="F949" i="5"/>
  <c r="E949" i="5"/>
  <c r="D949" i="5"/>
  <c r="F948" i="5"/>
  <c r="E948" i="5"/>
  <c r="D948" i="5"/>
  <c r="F947" i="5"/>
  <c r="E947" i="5"/>
  <c r="D947" i="5"/>
  <c r="F946" i="5"/>
  <c r="E946" i="5"/>
  <c r="D946" i="5"/>
  <c r="F945" i="5"/>
  <c r="E945" i="5"/>
  <c r="D945" i="5"/>
  <c r="F944" i="5"/>
  <c r="E944" i="5"/>
  <c r="D944" i="5"/>
  <c r="F943" i="5"/>
  <c r="E943" i="5"/>
  <c r="D943" i="5"/>
  <c r="F942" i="5"/>
  <c r="E942" i="5"/>
  <c r="D942" i="5"/>
  <c r="F941" i="5"/>
  <c r="E941" i="5"/>
  <c r="D941" i="5"/>
  <c r="F940" i="5"/>
  <c r="E940" i="5"/>
  <c r="D940" i="5"/>
  <c r="F939" i="5"/>
  <c r="E939" i="5"/>
  <c r="D939" i="5"/>
  <c r="F938" i="5"/>
  <c r="E938" i="5"/>
  <c r="D938" i="5"/>
  <c r="F937" i="5"/>
  <c r="E937" i="5"/>
  <c r="D937" i="5"/>
  <c r="F936" i="5"/>
  <c r="E936" i="5"/>
  <c r="D936" i="5"/>
  <c r="F935" i="5"/>
  <c r="E935" i="5"/>
  <c r="D935" i="5"/>
  <c r="F934" i="5"/>
  <c r="E934" i="5"/>
  <c r="D934" i="5"/>
  <c r="F933" i="5"/>
  <c r="E933" i="5"/>
  <c r="D933" i="5"/>
  <c r="F932" i="5"/>
  <c r="E932" i="5"/>
  <c r="D932" i="5"/>
  <c r="F931" i="5"/>
  <c r="E931" i="5"/>
  <c r="D931" i="5"/>
  <c r="F930" i="5"/>
  <c r="E930" i="5"/>
  <c r="D930" i="5"/>
  <c r="F929" i="5"/>
  <c r="E929" i="5"/>
  <c r="D929" i="5"/>
  <c r="F928" i="5"/>
  <c r="E928" i="5"/>
  <c r="D928" i="5"/>
  <c r="F927" i="5"/>
  <c r="E927" i="5"/>
  <c r="D927" i="5"/>
  <c r="F926" i="5"/>
  <c r="E926" i="5"/>
  <c r="D926" i="5"/>
  <c r="F925" i="5"/>
  <c r="E925" i="5"/>
  <c r="D925" i="5"/>
  <c r="F924" i="5"/>
  <c r="E924" i="5"/>
  <c r="D924" i="5"/>
  <c r="F923" i="5"/>
  <c r="E923" i="5"/>
  <c r="D923" i="5"/>
  <c r="F922" i="5"/>
  <c r="E922" i="5"/>
  <c r="D922" i="5"/>
  <c r="F921" i="5"/>
  <c r="E921" i="5"/>
  <c r="D921" i="5"/>
  <c r="F920" i="5"/>
  <c r="E920" i="5"/>
  <c r="D920" i="5"/>
  <c r="F919" i="5"/>
  <c r="E919" i="5"/>
  <c r="D919" i="5"/>
  <c r="F918" i="5"/>
  <c r="E918" i="5"/>
  <c r="D918" i="5"/>
  <c r="F917" i="5"/>
  <c r="E917" i="5"/>
  <c r="D917" i="5"/>
  <c r="F916" i="5"/>
  <c r="E916" i="5"/>
  <c r="D916" i="5"/>
  <c r="F915" i="5"/>
  <c r="E915" i="5"/>
  <c r="D915" i="5"/>
  <c r="F914" i="5"/>
  <c r="E914" i="5"/>
  <c r="D914" i="5"/>
  <c r="F913" i="5"/>
  <c r="E913" i="5"/>
  <c r="D913" i="5"/>
  <c r="F912" i="5"/>
  <c r="E912" i="5"/>
  <c r="D912" i="5"/>
  <c r="F911" i="5"/>
  <c r="E911" i="5"/>
  <c r="D911" i="5"/>
  <c r="F910" i="5"/>
  <c r="E910" i="5"/>
  <c r="D910" i="5"/>
  <c r="F909" i="5"/>
  <c r="E909" i="5"/>
  <c r="D909" i="5"/>
  <c r="F908" i="5"/>
  <c r="E908" i="5"/>
  <c r="D908" i="5"/>
  <c r="F907" i="5"/>
  <c r="E907" i="5"/>
  <c r="D907" i="5"/>
  <c r="F906" i="5"/>
  <c r="E906" i="5"/>
  <c r="D906" i="5"/>
  <c r="F905" i="5"/>
  <c r="E905" i="5"/>
  <c r="D905" i="5"/>
  <c r="F904" i="5"/>
  <c r="E904" i="5"/>
  <c r="D904" i="5"/>
  <c r="F903" i="5"/>
  <c r="E903" i="5"/>
  <c r="D903" i="5"/>
  <c r="F902" i="5"/>
  <c r="E902" i="5"/>
  <c r="D902" i="5"/>
  <c r="F901" i="5"/>
  <c r="E901" i="5"/>
  <c r="D901" i="5"/>
  <c r="F900" i="5"/>
  <c r="E900" i="5"/>
  <c r="D900" i="5"/>
  <c r="F899" i="5"/>
  <c r="E899" i="5"/>
  <c r="D899" i="5"/>
  <c r="F898" i="5"/>
  <c r="E898" i="5"/>
  <c r="D898" i="5"/>
  <c r="F897" i="5"/>
  <c r="E897" i="5"/>
  <c r="D897" i="5"/>
  <c r="F896" i="5"/>
  <c r="E896" i="5"/>
  <c r="D896" i="5"/>
  <c r="F895" i="5"/>
  <c r="E895" i="5"/>
  <c r="D895" i="5"/>
  <c r="F894" i="5"/>
  <c r="E894" i="5"/>
  <c r="D894" i="5"/>
  <c r="F893" i="5"/>
  <c r="E893" i="5"/>
  <c r="D893" i="5"/>
  <c r="F892" i="5"/>
  <c r="E892" i="5"/>
  <c r="D892" i="5"/>
  <c r="F891" i="5"/>
  <c r="E891" i="5"/>
  <c r="D891" i="5"/>
  <c r="F890" i="5"/>
  <c r="E890" i="5"/>
  <c r="D890" i="5"/>
  <c r="F889" i="5"/>
  <c r="E889" i="5"/>
  <c r="D889" i="5"/>
  <c r="F888" i="5"/>
  <c r="E888" i="5"/>
  <c r="D888" i="5"/>
  <c r="F887" i="5"/>
  <c r="E887" i="5"/>
  <c r="D887" i="5"/>
  <c r="F886" i="5"/>
  <c r="E886" i="5"/>
  <c r="D886" i="5"/>
  <c r="F885" i="5"/>
  <c r="E885" i="5"/>
  <c r="D885" i="5"/>
  <c r="F884" i="5"/>
  <c r="E884" i="5"/>
  <c r="D884" i="5"/>
  <c r="F883" i="5"/>
  <c r="E883" i="5"/>
  <c r="D883" i="5"/>
  <c r="F882" i="5"/>
  <c r="E882" i="5"/>
  <c r="D882" i="5"/>
  <c r="F881" i="5"/>
  <c r="E881" i="5"/>
  <c r="D881" i="5"/>
  <c r="F880" i="5"/>
  <c r="E880" i="5"/>
  <c r="D880" i="5"/>
  <c r="F879" i="5"/>
  <c r="E879" i="5"/>
  <c r="D879" i="5"/>
  <c r="F878" i="5"/>
  <c r="E878" i="5"/>
  <c r="D878" i="5"/>
  <c r="F877" i="5"/>
  <c r="E877" i="5"/>
  <c r="D877" i="5"/>
  <c r="F876" i="5"/>
  <c r="E876" i="5"/>
  <c r="D876" i="5"/>
  <c r="F875" i="5"/>
  <c r="E875" i="5"/>
  <c r="D875" i="5"/>
  <c r="F874" i="5"/>
  <c r="E874" i="5"/>
  <c r="D874" i="5"/>
  <c r="F873" i="5"/>
  <c r="E873" i="5"/>
  <c r="D873" i="5"/>
  <c r="F872" i="5"/>
  <c r="E872" i="5"/>
  <c r="D872" i="5"/>
  <c r="F871" i="5"/>
  <c r="E871" i="5"/>
  <c r="D871" i="5"/>
  <c r="F870" i="5"/>
  <c r="E870" i="5"/>
  <c r="D870" i="5"/>
  <c r="F869" i="5"/>
  <c r="E869" i="5"/>
  <c r="D869" i="5"/>
  <c r="F868" i="5"/>
  <c r="E868" i="5"/>
  <c r="D868" i="5"/>
  <c r="F867" i="5"/>
  <c r="E867" i="5"/>
  <c r="D867" i="5"/>
  <c r="F866" i="5"/>
  <c r="E866" i="5"/>
  <c r="D866" i="5"/>
  <c r="F865" i="5"/>
  <c r="E865" i="5"/>
  <c r="D865" i="5"/>
  <c r="F864" i="5"/>
  <c r="E864" i="5"/>
  <c r="D864" i="5"/>
  <c r="F863" i="5"/>
  <c r="E863" i="5"/>
  <c r="D863" i="5"/>
  <c r="F862" i="5"/>
  <c r="E862" i="5"/>
  <c r="D862" i="5"/>
  <c r="F861" i="5"/>
  <c r="E861" i="5"/>
  <c r="D861" i="5"/>
  <c r="F860" i="5"/>
  <c r="E860" i="5"/>
  <c r="D860" i="5"/>
  <c r="F859" i="5"/>
  <c r="E859" i="5"/>
  <c r="D859" i="5"/>
  <c r="F858" i="5"/>
  <c r="E858" i="5"/>
  <c r="D858" i="5"/>
  <c r="F857" i="5"/>
  <c r="E857" i="5"/>
  <c r="D857" i="5"/>
  <c r="F856" i="5"/>
  <c r="E856" i="5"/>
  <c r="D856" i="5"/>
  <c r="F855" i="5"/>
  <c r="E855" i="5"/>
  <c r="D855" i="5"/>
  <c r="F854" i="5"/>
  <c r="E854" i="5"/>
  <c r="D854" i="5"/>
  <c r="F853" i="5"/>
  <c r="E853" i="5"/>
  <c r="D853" i="5"/>
  <c r="F852" i="5"/>
  <c r="E852" i="5"/>
  <c r="D852" i="5"/>
  <c r="F851" i="5"/>
  <c r="E851" i="5"/>
  <c r="D851" i="5"/>
  <c r="F850" i="5"/>
  <c r="E850" i="5"/>
  <c r="D850" i="5"/>
  <c r="F849" i="5"/>
  <c r="E849" i="5"/>
  <c r="D849" i="5"/>
  <c r="F848" i="5"/>
  <c r="E848" i="5"/>
  <c r="D848" i="5"/>
  <c r="F847" i="5"/>
  <c r="E847" i="5"/>
  <c r="D847" i="5"/>
  <c r="F846" i="5"/>
  <c r="E846" i="5"/>
  <c r="D846" i="5"/>
  <c r="F845" i="5"/>
  <c r="E845" i="5"/>
  <c r="D845" i="5"/>
  <c r="F844" i="5"/>
  <c r="E844" i="5"/>
  <c r="D844" i="5"/>
  <c r="F843" i="5"/>
  <c r="E843" i="5"/>
  <c r="D843" i="5"/>
  <c r="F842" i="5"/>
  <c r="E842" i="5"/>
  <c r="D842" i="5"/>
  <c r="F841" i="5"/>
  <c r="E841" i="5"/>
  <c r="D841" i="5"/>
  <c r="F840" i="5"/>
  <c r="E840" i="5"/>
  <c r="D840" i="5"/>
  <c r="F839" i="5"/>
  <c r="E839" i="5"/>
  <c r="D839" i="5"/>
  <c r="F838" i="5"/>
  <c r="E838" i="5"/>
  <c r="D838" i="5"/>
  <c r="F837" i="5"/>
  <c r="E837" i="5"/>
  <c r="D837" i="5"/>
  <c r="F836" i="5"/>
  <c r="E836" i="5"/>
  <c r="D836" i="5"/>
  <c r="F835" i="5"/>
  <c r="E835" i="5"/>
  <c r="D835" i="5"/>
  <c r="F834" i="5"/>
  <c r="E834" i="5"/>
  <c r="D834" i="5"/>
  <c r="F833" i="5"/>
  <c r="E833" i="5"/>
  <c r="D833" i="5"/>
  <c r="F832" i="5"/>
  <c r="E832" i="5"/>
  <c r="D832" i="5"/>
  <c r="F831" i="5"/>
  <c r="E831" i="5"/>
  <c r="D831" i="5"/>
  <c r="F830" i="5"/>
  <c r="E830" i="5"/>
  <c r="D830" i="5"/>
  <c r="F829" i="5"/>
  <c r="E829" i="5"/>
  <c r="D829" i="5"/>
  <c r="F828" i="5"/>
  <c r="E828" i="5"/>
  <c r="D828" i="5"/>
  <c r="F827" i="5"/>
  <c r="E827" i="5"/>
  <c r="D827" i="5"/>
  <c r="F826" i="5"/>
  <c r="E826" i="5"/>
  <c r="D826" i="5"/>
  <c r="F825" i="5"/>
  <c r="E825" i="5"/>
  <c r="D825" i="5"/>
  <c r="F824" i="5"/>
  <c r="E824" i="5"/>
  <c r="D824" i="5"/>
  <c r="F823" i="5"/>
  <c r="E823" i="5"/>
  <c r="D823" i="5"/>
  <c r="F822" i="5"/>
  <c r="E822" i="5"/>
  <c r="D822" i="5"/>
  <c r="F821" i="5"/>
  <c r="E821" i="5"/>
  <c r="D821" i="5"/>
  <c r="F820" i="5"/>
  <c r="E820" i="5"/>
  <c r="D820" i="5"/>
  <c r="F819" i="5"/>
  <c r="E819" i="5"/>
  <c r="D819" i="5"/>
  <c r="F818" i="5"/>
  <c r="E818" i="5"/>
  <c r="D818" i="5"/>
  <c r="F817" i="5"/>
  <c r="E817" i="5"/>
  <c r="D817" i="5"/>
  <c r="F816" i="5"/>
  <c r="E816" i="5"/>
  <c r="D816" i="5"/>
  <c r="F815" i="5"/>
  <c r="E815" i="5"/>
  <c r="D815" i="5"/>
  <c r="F814" i="5"/>
  <c r="E814" i="5"/>
  <c r="D814" i="5"/>
  <c r="F813" i="5"/>
  <c r="E813" i="5"/>
  <c r="D813" i="5"/>
  <c r="F812" i="5"/>
  <c r="E812" i="5"/>
  <c r="D812" i="5"/>
  <c r="F811" i="5"/>
  <c r="E811" i="5"/>
  <c r="D811" i="5"/>
  <c r="F810" i="5"/>
  <c r="E810" i="5"/>
  <c r="D810" i="5"/>
  <c r="F809" i="5"/>
  <c r="E809" i="5"/>
  <c r="D809" i="5"/>
  <c r="F808" i="5"/>
  <c r="E808" i="5"/>
  <c r="D808" i="5"/>
  <c r="F807" i="5"/>
  <c r="E807" i="5"/>
  <c r="D807" i="5"/>
  <c r="F806" i="5"/>
  <c r="E806" i="5"/>
  <c r="D806" i="5"/>
  <c r="F805" i="5"/>
  <c r="E805" i="5"/>
  <c r="D805" i="5"/>
  <c r="F804" i="5"/>
  <c r="E804" i="5"/>
  <c r="D804" i="5"/>
  <c r="F803" i="5"/>
  <c r="E803" i="5"/>
  <c r="D803" i="5"/>
  <c r="F802" i="5"/>
  <c r="E802" i="5"/>
  <c r="D802" i="5"/>
  <c r="F801" i="5"/>
  <c r="E801" i="5"/>
  <c r="D801" i="5"/>
  <c r="F800" i="5"/>
  <c r="E800" i="5"/>
  <c r="D800" i="5"/>
  <c r="F799" i="5"/>
  <c r="E799" i="5"/>
  <c r="D799" i="5"/>
  <c r="F798" i="5"/>
  <c r="E798" i="5"/>
  <c r="D798" i="5"/>
  <c r="F797" i="5"/>
  <c r="E797" i="5"/>
  <c r="D797" i="5"/>
  <c r="F796" i="5"/>
  <c r="E796" i="5"/>
  <c r="D796" i="5"/>
  <c r="F795" i="5"/>
  <c r="E795" i="5"/>
  <c r="D795" i="5"/>
  <c r="F794" i="5"/>
  <c r="E794" i="5"/>
  <c r="D794" i="5"/>
  <c r="F793" i="5"/>
  <c r="E793" i="5"/>
  <c r="D793" i="5"/>
  <c r="F792" i="5"/>
  <c r="E792" i="5"/>
  <c r="D792" i="5"/>
  <c r="F791" i="5"/>
  <c r="E791" i="5"/>
  <c r="D791" i="5"/>
  <c r="F790" i="5"/>
  <c r="E790" i="5"/>
  <c r="D790" i="5"/>
  <c r="F789" i="5"/>
  <c r="E789" i="5"/>
  <c r="D789" i="5"/>
  <c r="F788" i="5"/>
  <c r="E788" i="5"/>
  <c r="D788" i="5"/>
  <c r="F787" i="5"/>
  <c r="E787" i="5"/>
  <c r="D787" i="5"/>
  <c r="F786" i="5"/>
  <c r="E786" i="5"/>
  <c r="D786" i="5"/>
  <c r="F785" i="5"/>
  <c r="E785" i="5"/>
  <c r="D785" i="5"/>
  <c r="F784" i="5"/>
  <c r="E784" i="5"/>
  <c r="D784" i="5"/>
  <c r="F783" i="5"/>
  <c r="E783" i="5"/>
  <c r="D783" i="5"/>
  <c r="F782" i="5"/>
  <c r="E782" i="5"/>
  <c r="D782" i="5"/>
  <c r="F781" i="5"/>
  <c r="E781" i="5"/>
  <c r="D781" i="5"/>
  <c r="F780" i="5"/>
  <c r="E780" i="5"/>
  <c r="D780" i="5"/>
  <c r="F779" i="5"/>
  <c r="E779" i="5"/>
  <c r="D779" i="5"/>
  <c r="F778" i="5"/>
  <c r="E778" i="5"/>
  <c r="D778" i="5"/>
  <c r="F777" i="5"/>
  <c r="E777" i="5"/>
  <c r="D777" i="5"/>
  <c r="F776" i="5"/>
  <c r="E776" i="5"/>
  <c r="D776" i="5"/>
  <c r="F775" i="5"/>
  <c r="E775" i="5"/>
  <c r="D775" i="5"/>
  <c r="F774" i="5"/>
  <c r="E774" i="5"/>
  <c r="D774" i="5"/>
  <c r="F773" i="5"/>
  <c r="E773" i="5"/>
  <c r="D773" i="5"/>
  <c r="F772" i="5"/>
  <c r="E772" i="5"/>
  <c r="D772" i="5"/>
  <c r="F771" i="5"/>
  <c r="E771" i="5"/>
  <c r="D771" i="5"/>
  <c r="F770" i="5"/>
  <c r="E770" i="5"/>
  <c r="D770" i="5"/>
  <c r="F769" i="5"/>
  <c r="E769" i="5"/>
  <c r="D769" i="5"/>
  <c r="F768" i="5"/>
  <c r="E768" i="5"/>
  <c r="D768" i="5"/>
  <c r="F767" i="5"/>
  <c r="E767" i="5"/>
  <c r="D767" i="5"/>
  <c r="F766" i="5"/>
  <c r="E766" i="5"/>
  <c r="D766" i="5"/>
  <c r="F765" i="5"/>
  <c r="E765" i="5"/>
  <c r="D765" i="5"/>
  <c r="F764" i="5"/>
  <c r="E764" i="5"/>
  <c r="D764" i="5"/>
  <c r="F763" i="5"/>
  <c r="E763" i="5"/>
  <c r="D763" i="5"/>
  <c r="F762" i="5"/>
  <c r="E762" i="5"/>
  <c r="D762" i="5"/>
  <c r="F761" i="5"/>
  <c r="E761" i="5"/>
  <c r="D761" i="5"/>
  <c r="F760" i="5"/>
  <c r="E760" i="5"/>
  <c r="D760" i="5"/>
  <c r="F759" i="5"/>
  <c r="E759" i="5"/>
  <c r="D759" i="5"/>
  <c r="F758" i="5"/>
  <c r="E758" i="5"/>
  <c r="D758" i="5"/>
  <c r="F757" i="5"/>
  <c r="E757" i="5"/>
  <c r="D757" i="5"/>
  <c r="F756" i="5"/>
  <c r="E756" i="5"/>
  <c r="D756" i="5"/>
  <c r="F755" i="5"/>
  <c r="E755" i="5"/>
  <c r="D755" i="5"/>
  <c r="F754" i="5"/>
  <c r="E754" i="5"/>
  <c r="D754" i="5"/>
  <c r="F753" i="5"/>
  <c r="E753" i="5"/>
  <c r="D753" i="5"/>
  <c r="F752" i="5"/>
  <c r="E752" i="5"/>
  <c r="D752" i="5"/>
  <c r="F751" i="5"/>
  <c r="E751" i="5"/>
  <c r="D751" i="5"/>
  <c r="F750" i="5"/>
  <c r="E750" i="5"/>
  <c r="D750" i="5"/>
  <c r="F749" i="5"/>
  <c r="E749" i="5"/>
  <c r="D749" i="5"/>
  <c r="F748" i="5"/>
  <c r="E748" i="5"/>
  <c r="D748" i="5"/>
  <c r="F747" i="5"/>
  <c r="E747" i="5"/>
  <c r="D747" i="5"/>
  <c r="F746" i="5"/>
  <c r="E746" i="5"/>
  <c r="D746" i="5"/>
  <c r="F745" i="5"/>
  <c r="E745" i="5"/>
  <c r="D745" i="5"/>
  <c r="F744" i="5"/>
  <c r="E744" i="5"/>
  <c r="D744" i="5"/>
  <c r="F743" i="5"/>
  <c r="E743" i="5"/>
  <c r="D743" i="5"/>
  <c r="F742" i="5"/>
  <c r="E742" i="5"/>
  <c r="D742" i="5"/>
  <c r="F741" i="5"/>
  <c r="E741" i="5"/>
  <c r="D741" i="5"/>
  <c r="F740" i="5"/>
  <c r="E740" i="5"/>
  <c r="D740" i="5"/>
  <c r="F739" i="5"/>
  <c r="E739" i="5"/>
  <c r="D739" i="5"/>
  <c r="F738" i="5"/>
  <c r="E738" i="5"/>
  <c r="D738" i="5"/>
  <c r="F737" i="5"/>
  <c r="E737" i="5"/>
  <c r="D737" i="5"/>
  <c r="F736" i="5"/>
  <c r="E736" i="5"/>
  <c r="D736" i="5"/>
  <c r="F735" i="5"/>
  <c r="E735" i="5"/>
  <c r="D735" i="5"/>
  <c r="F734" i="5"/>
  <c r="E734" i="5"/>
  <c r="D734" i="5"/>
  <c r="F733" i="5"/>
  <c r="E733" i="5"/>
  <c r="D733" i="5"/>
  <c r="F732" i="5"/>
  <c r="E732" i="5"/>
  <c r="D732" i="5"/>
  <c r="F731" i="5"/>
  <c r="E731" i="5"/>
  <c r="D731" i="5"/>
  <c r="F730" i="5"/>
  <c r="E730" i="5"/>
  <c r="D730" i="5"/>
  <c r="F729" i="5"/>
  <c r="E729" i="5"/>
  <c r="D729" i="5"/>
  <c r="F728" i="5"/>
  <c r="E728" i="5"/>
  <c r="D728" i="5"/>
  <c r="F727" i="5"/>
  <c r="E727" i="5"/>
  <c r="D727" i="5"/>
  <c r="F726" i="5"/>
  <c r="E726" i="5"/>
  <c r="D726" i="5"/>
  <c r="F725" i="5"/>
  <c r="E725" i="5"/>
  <c r="D725" i="5"/>
  <c r="F724" i="5"/>
  <c r="E724" i="5"/>
  <c r="D724" i="5"/>
  <c r="F723" i="5"/>
  <c r="E723" i="5"/>
  <c r="D723" i="5"/>
  <c r="F722" i="5"/>
  <c r="E722" i="5"/>
  <c r="D722" i="5"/>
  <c r="F721" i="5"/>
  <c r="E721" i="5"/>
  <c r="D721" i="5"/>
  <c r="F720" i="5"/>
  <c r="E720" i="5"/>
  <c r="D720" i="5"/>
  <c r="F719" i="5"/>
  <c r="E719" i="5"/>
  <c r="D719" i="5"/>
  <c r="F718" i="5"/>
  <c r="E718" i="5"/>
  <c r="D718" i="5"/>
  <c r="F717" i="5"/>
  <c r="E717" i="5"/>
  <c r="D717" i="5"/>
  <c r="F716" i="5"/>
  <c r="E716" i="5"/>
  <c r="D716" i="5"/>
  <c r="F715" i="5"/>
  <c r="E715" i="5"/>
  <c r="D715" i="5"/>
  <c r="F714" i="5"/>
  <c r="E714" i="5"/>
  <c r="D714" i="5"/>
  <c r="F713" i="5"/>
  <c r="E713" i="5"/>
  <c r="D713" i="5"/>
  <c r="F712" i="5"/>
  <c r="E712" i="5"/>
  <c r="D712" i="5"/>
  <c r="F711" i="5"/>
  <c r="E711" i="5"/>
  <c r="D711" i="5"/>
  <c r="F710" i="5"/>
  <c r="E710" i="5"/>
  <c r="D710" i="5"/>
  <c r="F709" i="5"/>
  <c r="E709" i="5"/>
  <c r="D709" i="5"/>
  <c r="F708" i="5"/>
  <c r="E708" i="5"/>
  <c r="D708" i="5"/>
  <c r="F707" i="5"/>
  <c r="E707" i="5"/>
  <c r="D707" i="5"/>
  <c r="F706" i="5"/>
  <c r="E706" i="5"/>
  <c r="D706" i="5"/>
  <c r="F705" i="5"/>
  <c r="E705" i="5"/>
  <c r="D705" i="5"/>
  <c r="F704" i="5"/>
  <c r="E704" i="5"/>
  <c r="D704" i="5"/>
  <c r="F703" i="5"/>
  <c r="E703" i="5"/>
  <c r="D703" i="5"/>
  <c r="F702" i="5"/>
  <c r="E702" i="5"/>
  <c r="D702" i="5"/>
  <c r="F701" i="5"/>
  <c r="E701" i="5"/>
  <c r="D701" i="5"/>
  <c r="F700" i="5"/>
  <c r="E700" i="5"/>
  <c r="D700" i="5"/>
  <c r="F699" i="5"/>
  <c r="E699" i="5"/>
  <c r="D699" i="5"/>
  <c r="F698" i="5"/>
  <c r="E698" i="5"/>
  <c r="D698" i="5"/>
  <c r="F697" i="5"/>
  <c r="E697" i="5"/>
  <c r="D697" i="5"/>
  <c r="F696" i="5"/>
  <c r="E696" i="5"/>
  <c r="D696" i="5"/>
  <c r="F695" i="5"/>
  <c r="E695" i="5"/>
  <c r="D695" i="5"/>
  <c r="F694" i="5"/>
  <c r="E694" i="5"/>
  <c r="D694" i="5"/>
  <c r="F693" i="5"/>
  <c r="E693" i="5"/>
  <c r="D693" i="5"/>
  <c r="F692" i="5"/>
  <c r="E692" i="5"/>
  <c r="D692" i="5"/>
  <c r="F691" i="5"/>
  <c r="E691" i="5"/>
  <c r="D691" i="5"/>
  <c r="F690" i="5"/>
  <c r="E690" i="5"/>
  <c r="D690" i="5"/>
  <c r="F689" i="5"/>
  <c r="E689" i="5"/>
  <c r="D689" i="5"/>
  <c r="F688" i="5"/>
  <c r="E688" i="5"/>
  <c r="D688" i="5"/>
  <c r="F687" i="5"/>
  <c r="E687" i="5"/>
  <c r="D687" i="5"/>
  <c r="F686" i="5"/>
  <c r="E686" i="5"/>
  <c r="D686" i="5"/>
  <c r="F685" i="5"/>
  <c r="E685" i="5"/>
  <c r="D685" i="5"/>
  <c r="F684" i="5"/>
  <c r="E684" i="5"/>
  <c r="D684" i="5"/>
  <c r="F683" i="5"/>
  <c r="E683" i="5"/>
  <c r="D683" i="5"/>
  <c r="F682" i="5"/>
  <c r="E682" i="5"/>
  <c r="D682" i="5"/>
  <c r="F681" i="5"/>
  <c r="E681" i="5"/>
  <c r="D681" i="5"/>
  <c r="F680" i="5"/>
  <c r="E680" i="5"/>
  <c r="D680" i="5"/>
  <c r="F679" i="5"/>
  <c r="E679" i="5"/>
  <c r="D679" i="5"/>
  <c r="F678" i="5"/>
  <c r="E678" i="5"/>
  <c r="D678" i="5"/>
  <c r="F677" i="5"/>
  <c r="E677" i="5"/>
  <c r="D677" i="5"/>
  <c r="F676" i="5"/>
  <c r="E676" i="5"/>
  <c r="D676" i="5"/>
  <c r="F675" i="5"/>
  <c r="E675" i="5"/>
  <c r="D675" i="5"/>
  <c r="F674" i="5"/>
  <c r="E674" i="5"/>
  <c r="D674" i="5"/>
  <c r="F673" i="5"/>
  <c r="E673" i="5"/>
  <c r="D673" i="5"/>
  <c r="F672" i="5"/>
  <c r="E672" i="5"/>
  <c r="D672" i="5"/>
  <c r="F671" i="5"/>
  <c r="E671" i="5"/>
  <c r="D671" i="5"/>
  <c r="F670" i="5"/>
  <c r="E670" i="5"/>
  <c r="D670" i="5"/>
  <c r="F669" i="5"/>
  <c r="E669" i="5"/>
  <c r="D669" i="5"/>
  <c r="F668" i="5"/>
  <c r="E668" i="5"/>
  <c r="D668" i="5"/>
  <c r="F667" i="5"/>
  <c r="E667" i="5"/>
  <c r="D667" i="5"/>
  <c r="F666" i="5"/>
  <c r="E666" i="5"/>
  <c r="D666" i="5"/>
  <c r="F665" i="5"/>
  <c r="E665" i="5"/>
  <c r="D665" i="5"/>
  <c r="F664" i="5"/>
  <c r="E664" i="5"/>
  <c r="D664" i="5"/>
  <c r="F663" i="5"/>
  <c r="E663" i="5"/>
  <c r="D663" i="5"/>
  <c r="F662" i="5"/>
  <c r="E662" i="5"/>
  <c r="D662" i="5"/>
  <c r="F661" i="5"/>
  <c r="E661" i="5"/>
  <c r="D661" i="5"/>
  <c r="F660" i="5"/>
  <c r="E660" i="5"/>
  <c r="D660" i="5"/>
  <c r="F659" i="5"/>
  <c r="E659" i="5"/>
  <c r="D659" i="5"/>
  <c r="F658" i="5"/>
  <c r="E658" i="5"/>
  <c r="D658" i="5"/>
  <c r="F657" i="5"/>
  <c r="E657" i="5"/>
  <c r="D657" i="5"/>
  <c r="F656" i="5"/>
  <c r="E656" i="5"/>
  <c r="D656" i="5"/>
  <c r="F655" i="5"/>
  <c r="E655" i="5"/>
  <c r="D655" i="5"/>
  <c r="F654" i="5"/>
  <c r="E654" i="5"/>
  <c r="D654" i="5"/>
  <c r="F653" i="5"/>
  <c r="E653" i="5"/>
  <c r="D653" i="5"/>
  <c r="F652" i="5"/>
  <c r="E652" i="5"/>
  <c r="D652" i="5"/>
  <c r="F651" i="5"/>
  <c r="E651" i="5"/>
  <c r="D651" i="5"/>
  <c r="F650" i="5"/>
  <c r="E650" i="5"/>
  <c r="D650" i="5"/>
  <c r="F649" i="5"/>
  <c r="E649" i="5"/>
  <c r="D649" i="5"/>
  <c r="F648" i="5"/>
  <c r="E648" i="5"/>
  <c r="D648" i="5"/>
  <c r="F647" i="5"/>
  <c r="E647" i="5"/>
  <c r="D647" i="5"/>
  <c r="F646" i="5"/>
  <c r="E646" i="5"/>
  <c r="D646" i="5"/>
  <c r="F645" i="5"/>
  <c r="E645" i="5"/>
  <c r="D645" i="5"/>
  <c r="F644" i="5"/>
  <c r="E644" i="5"/>
  <c r="D644" i="5"/>
  <c r="F643" i="5"/>
  <c r="E643" i="5"/>
  <c r="D643" i="5"/>
  <c r="F642" i="5"/>
  <c r="E642" i="5"/>
  <c r="D642" i="5"/>
  <c r="F641" i="5"/>
  <c r="E641" i="5"/>
  <c r="D641" i="5"/>
  <c r="F640" i="5"/>
  <c r="E640" i="5"/>
  <c r="D640" i="5"/>
  <c r="F639" i="5"/>
  <c r="E639" i="5"/>
  <c r="D639" i="5"/>
  <c r="F638" i="5"/>
  <c r="E638" i="5"/>
  <c r="D638" i="5"/>
  <c r="F637" i="5"/>
  <c r="E637" i="5"/>
  <c r="D637" i="5"/>
  <c r="F636" i="5"/>
  <c r="E636" i="5"/>
  <c r="D636" i="5"/>
  <c r="F635" i="5"/>
  <c r="E635" i="5"/>
  <c r="D635" i="5"/>
  <c r="F634" i="5"/>
  <c r="E634" i="5"/>
  <c r="D634" i="5"/>
  <c r="F633" i="5"/>
  <c r="E633" i="5"/>
  <c r="D633" i="5"/>
  <c r="F632" i="5"/>
  <c r="E632" i="5"/>
  <c r="D632" i="5"/>
  <c r="F631" i="5"/>
  <c r="E631" i="5"/>
  <c r="D631" i="5"/>
  <c r="F630" i="5"/>
  <c r="E630" i="5"/>
  <c r="D630" i="5"/>
  <c r="F629" i="5"/>
  <c r="E629" i="5"/>
  <c r="D629" i="5"/>
  <c r="F628" i="5"/>
  <c r="E628" i="5"/>
  <c r="D628" i="5"/>
  <c r="F627" i="5"/>
  <c r="E627" i="5"/>
  <c r="D627" i="5"/>
  <c r="F626" i="5"/>
  <c r="E626" i="5"/>
  <c r="D626" i="5"/>
  <c r="F625" i="5"/>
  <c r="E625" i="5"/>
  <c r="D625" i="5"/>
  <c r="F624" i="5"/>
  <c r="E624" i="5"/>
  <c r="D624" i="5"/>
  <c r="F623" i="5"/>
  <c r="E623" i="5"/>
  <c r="D623" i="5"/>
  <c r="F622" i="5"/>
  <c r="E622" i="5"/>
  <c r="D622" i="5"/>
  <c r="F621" i="5"/>
  <c r="E621" i="5"/>
  <c r="D621" i="5"/>
  <c r="F620" i="5"/>
  <c r="E620" i="5"/>
  <c r="D620" i="5"/>
  <c r="F619" i="5"/>
  <c r="E619" i="5"/>
  <c r="D619" i="5"/>
  <c r="F618" i="5"/>
  <c r="E618" i="5"/>
  <c r="D618" i="5"/>
  <c r="F617" i="5"/>
  <c r="E617" i="5"/>
  <c r="D617" i="5"/>
  <c r="F616" i="5"/>
  <c r="E616" i="5"/>
  <c r="D616" i="5"/>
  <c r="F615" i="5"/>
  <c r="E615" i="5"/>
  <c r="D615" i="5"/>
  <c r="F614" i="5"/>
  <c r="E614" i="5"/>
  <c r="D614" i="5"/>
  <c r="F613" i="5"/>
  <c r="E613" i="5"/>
  <c r="D613" i="5"/>
  <c r="F612" i="5"/>
  <c r="E612" i="5"/>
  <c r="D612" i="5"/>
  <c r="F611" i="5"/>
  <c r="E611" i="5"/>
  <c r="D611" i="5"/>
  <c r="F610" i="5"/>
  <c r="E610" i="5"/>
  <c r="D610" i="5"/>
  <c r="F609" i="5"/>
  <c r="E609" i="5"/>
  <c r="D609" i="5"/>
  <c r="F608" i="5"/>
  <c r="E608" i="5"/>
  <c r="D608" i="5"/>
  <c r="F607" i="5"/>
  <c r="E607" i="5"/>
  <c r="D607" i="5"/>
  <c r="F606" i="5"/>
  <c r="E606" i="5"/>
  <c r="D606" i="5"/>
  <c r="F605" i="5"/>
  <c r="E605" i="5"/>
  <c r="D605" i="5"/>
  <c r="F604" i="5"/>
  <c r="E604" i="5"/>
  <c r="D604" i="5"/>
  <c r="F603" i="5"/>
  <c r="E603" i="5"/>
  <c r="D603" i="5"/>
  <c r="F602" i="5"/>
  <c r="E602" i="5"/>
  <c r="D602" i="5"/>
  <c r="F601" i="5"/>
  <c r="E601" i="5"/>
  <c r="D601" i="5"/>
  <c r="F600" i="5"/>
  <c r="E600" i="5"/>
  <c r="D600" i="5"/>
  <c r="F599" i="5"/>
  <c r="E599" i="5"/>
  <c r="D599" i="5"/>
  <c r="F598" i="5"/>
  <c r="E598" i="5"/>
  <c r="D598" i="5"/>
  <c r="F597" i="5"/>
  <c r="E597" i="5"/>
  <c r="D597" i="5"/>
  <c r="F596" i="5"/>
  <c r="E596" i="5"/>
  <c r="D596" i="5"/>
  <c r="F595" i="5"/>
  <c r="E595" i="5"/>
  <c r="D595" i="5"/>
  <c r="F594" i="5"/>
  <c r="E594" i="5"/>
  <c r="D594" i="5"/>
  <c r="F593" i="5"/>
  <c r="E593" i="5"/>
  <c r="D593" i="5"/>
  <c r="F592" i="5"/>
  <c r="E592" i="5"/>
  <c r="D592" i="5"/>
  <c r="F591" i="5"/>
  <c r="E591" i="5"/>
  <c r="D591" i="5"/>
  <c r="F590" i="5"/>
  <c r="E590" i="5"/>
  <c r="D590" i="5"/>
  <c r="F589" i="5"/>
  <c r="E589" i="5"/>
  <c r="D589" i="5"/>
  <c r="F588" i="5"/>
  <c r="E588" i="5"/>
  <c r="D588" i="5"/>
  <c r="F587" i="5"/>
  <c r="E587" i="5"/>
  <c r="D587" i="5"/>
  <c r="F586" i="5"/>
  <c r="E586" i="5"/>
  <c r="D586" i="5"/>
  <c r="F585" i="5"/>
  <c r="E585" i="5"/>
  <c r="D585" i="5"/>
  <c r="F584" i="5"/>
  <c r="E584" i="5"/>
  <c r="D584" i="5"/>
  <c r="F583" i="5"/>
  <c r="E583" i="5"/>
  <c r="D583" i="5"/>
  <c r="F582" i="5"/>
  <c r="E582" i="5"/>
  <c r="D582" i="5"/>
  <c r="F581" i="5"/>
  <c r="E581" i="5"/>
  <c r="D581" i="5"/>
  <c r="F580" i="5"/>
  <c r="E580" i="5"/>
  <c r="D580" i="5"/>
  <c r="F579" i="5"/>
  <c r="E579" i="5"/>
  <c r="D579" i="5"/>
  <c r="F578" i="5"/>
  <c r="E578" i="5"/>
  <c r="D578" i="5"/>
  <c r="F577" i="5"/>
  <c r="E577" i="5"/>
  <c r="D577" i="5"/>
  <c r="F576" i="5"/>
  <c r="E576" i="5"/>
  <c r="D576" i="5"/>
  <c r="F575" i="5"/>
  <c r="E575" i="5"/>
  <c r="D575" i="5"/>
  <c r="F574" i="5"/>
  <c r="E574" i="5"/>
  <c r="D574" i="5"/>
  <c r="F573" i="5"/>
  <c r="E573" i="5"/>
  <c r="D573" i="5"/>
  <c r="F572" i="5"/>
  <c r="E572" i="5"/>
  <c r="D572" i="5"/>
  <c r="F571" i="5"/>
  <c r="E571" i="5"/>
  <c r="D571" i="5"/>
  <c r="F570" i="5"/>
  <c r="E570" i="5"/>
  <c r="D570" i="5"/>
  <c r="F569" i="5"/>
  <c r="E569" i="5"/>
  <c r="D569" i="5"/>
  <c r="F568" i="5"/>
  <c r="E568" i="5"/>
  <c r="D568" i="5"/>
  <c r="F567" i="5"/>
  <c r="E567" i="5"/>
  <c r="D567" i="5"/>
  <c r="F566" i="5"/>
  <c r="E566" i="5"/>
  <c r="D566" i="5"/>
  <c r="F565" i="5"/>
  <c r="E565" i="5"/>
  <c r="D565" i="5"/>
  <c r="F564" i="5"/>
  <c r="E564" i="5"/>
  <c r="D564" i="5"/>
  <c r="F563" i="5"/>
  <c r="E563" i="5"/>
  <c r="D563" i="5"/>
  <c r="F562" i="5"/>
  <c r="E562" i="5"/>
  <c r="D562" i="5"/>
  <c r="F561" i="5"/>
  <c r="E561" i="5"/>
  <c r="D561" i="5"/>
  <c r="F560" i="5"/>
  <c r="E560" i="5"/>
  <c r="D560" i="5"/>
  <c r="F559" i="5"/>
  <c r="E559" i="5"/>
  <c r="D559" i="5"/>
  <c r="F558" i="5"/>
  <c r="E558" i="5"/>
  <c r="D558" i="5"/>
  <c r="F557" i="5"/>
  <c r="E557" i="5"/>
  <c r="D557" i="5"/>
  <c r="F556" i="5"/>
  <c r="E556" i="5"/>
  <c r="D556" i="5"/>
  <c r="F555" i="5"/>
  <c r="E555" i="5"/>
  <c r="D555" i="5"/>
  <c r="F554" i="5"/>
  <c r="E554" i="5"/>
  <c r="D554" i="5"/>
  <c r="F553" i="5"/>
  <c r="E553" i="5"/>
  <c r="D553" i="5"/>
  <c r="F552" i="5"/>
  <c r="E552" i="5"/>
  <c r="D552" i="5"/>
  <c r="F551" i="5"/>
  <c r="E551" i="5"/>
  <c r="D551" i="5"/>
  <c r="F550" i="5"/>
  <c r="E550" i="5"/>
  <c r="D550" i="5"/>
  <c r="F549" i="5"/>
  <c r="E549" i="5"/>
  <c r="D549" i="5"/>
  <c r="F548" i="5"/>
  <c r="E548" i="5"/>
  <c r="D548" i="5"/>
  <c r="F547" i="5"/>
  <c r="E547" i="5"/>
  <c r="D547" i="5"/>
  <c r="F546" i="5"/>
  <c r="E546" i="5"/>
  <c r="D546" i="5"/>
  <c r="F545" i="5"/>
  <c r="E545" i="5"/>
  <c r="D545" i="5"/>
  <c r="F544" i="5"/>
  <c r="E544" i="5"/>
  <c r="D544" i="5"/>
  <c r="F543" i="5"/>
  <c r="E543" i="5"/>
  <c r="D543" i="5"/>
  <c r="F542" i="5"/>
  <c r="E542" i="5"/>
  <c r="D542" i="5"/>
  <c r="F541" i="5"/>
  <c r="E541" i="5"/>
  <c r="D541" i="5"/>
  <c r="F540" i="5"/>
  <c r="E540" i="5"/>
  <c r="D540" i="5"/>
  <c r="F539" i="5"/>
  <c r="E539" i="5"/>
  <c r="D539" i="5"/>
  <c r="F538" i="5"/>
  <c r="E538" i="5"/>
  <c r="D538" i="5"/>
  <c r="F537" i="5"/>
  <c r="E537" i="5"/>
  <c r="D537" i="5"/>
  <c r="F536" i="5"/>
  <c r="E536" i="5"/>
  <c r="D536" i="5"/>
  <c r="F535" i="5"/>
  <c r="E535" i="5"/>
  <c r="D535" i="5"/>
  <c r="F534" i="5"/>
  <c r="E534" i="5"/>
  <c r="D534" i="5"/>
  <c r="F533" i="5"/>
  <c r="E533" i="5"/>
  <c r="D533" i="5"/>
  <c r="F532" i="5"/>
  <c r="E532" i="5"/>
  <c r="D532" i="5"/>
  <c r="F531" i="5"/>
  <c r="E531" i="5"/>
  <c r="D531" i="5"/>
  <c r="F530" i="5"/>
  <c r="E530" i="5"/>
  <c r="D530" i="5"/>
  <c r="F529" i="5"/>
  <c r="E529" i="5"/>
  <c r="D529" i="5"/>
  <c r="F528" i="5"/>
  <c r="E528" i="5"/>
  <c r="D528" i="5"/>
  <c r="F527" i="5"/>
  <c r="E527" i="5"/>
  <c r="D527" i="5"/>
  <c r="F526" i="5"/>
  <c r="E526" i="5"/>
  <c r="D526" i="5"/>
  <c r="F525" i="5"/>
  <c r="E525" i="5"/>
  <c r="D525" i="5"/>
  <c r="F524" i="5"/>
  <c r="E524" i="5"/>
  <c r="D524" i="5"/>
  <c r="F523" i="5"/>
  <c r="E523" i="5"/>
  <c r="D523" i="5"/>
  <c r="F522" i="5"/>
  <c r="E522" i="5"/>
  <c r="D522" i="5"/>
  <c r="F521" i="5"/>
  <c r="E521" i="5"/>
  <c r="D521" i="5"/>
  <c r="F520" i="5"/>
  <c r="E520" i="5"/>
  <c r="D520" i="5"/>
  <c r="F519" i="5"/>
  <c r="E519" i="5"/>
  <c r="D519" i="5"/>
  <c r="F518" i="5"/>
  <c r="E518" i="5"/>
  <c r="D518" i="5"/>
  <c r="F517" i="5"/>
  <c r="E517" i="5"/>
  <c r="D517" i="5"/>
  <c r="F516" i="5"/>
  <c r="E516" i="5"/>
  <c r="D516" i="5"/>
  <c r="F515" i="5"/>
  <c r="E515" i="5"/>
  <c r="D515" i="5"/>
  <c r="F514" i="5"/>
  <c r="E514" i="5"/>
  <c r="D514" i="5"/>
  <c r="F513" i="5"/>
  <c r="E513" i="5"/>
  <c r="D513" i="5"/>
  <c r="F512" i="5"/>
  <c r="E512" i="5"/>
  <c r="D512" i="5"/>
  <c r="F511" i="5"/>
  <c r="E511" i="5"/>
  <c r="D511" i="5"/>
  <c r="F510" i="5"/>
  <c r="E510" i="5"/>
  <c r="D510" i="5"/>
  <c r="F509" i="5"/>
  <c r="E509" i="5"/>
  <c r="D509" i="5"/>
  <c r="F508" i="5"/>
  <c r="E508" i="5"/>
  <c r="D508" i="5"/>
  <c r="F507" i="5"/>
  <c r="E507" i="5"/>
  <c r="D507" i="5"/>
  <c r="F506" i="5"/>
  <c r="E506" i="5"/>
  <c r="D506" i="5"/>
  <c r="F505" i="5"/>
  <c r="E505" i="5"/>
  <c r="D505" i="5"/>
  <c r="F504" i="5"/>
  <c r="E504" i="5"/>
  <c r="D504" i="5"/>
  <c r="F503" i="5"/>
  <c r="E503" i="5"/>
  <c r="D503" i="5"/>
  <c r="F502" i="5"/>
  <c r="E502" i="5"/>
  <c r="D502" i="5"/>
  <c r="F501" i="5"/>
  <c r="E501" i="5"/>
  <c r="D501" i="5"/>
  <c r="F500" i="5"/>
  <c r="E500" i="5"/>
  <c r="D500" i="5"/>
  <c r="F499" i="5"/>
  <c r="E499" i="5"/>
  <c r="D499" i="5"/>
  <c r="F498" i="5"/>
  <c r="E498" i="5"/>
  <c r="D498" i="5"/>
  <c r="F497" i="5"/>
  <c r="E497" i="5"/>
  <c r="D497" i="5"/>
  <c r="F496" i="5"/>
  <c r="E496" i="5"/>
  <c r="D496" i="5"/>
  <c r="F495" i="5"/>
  <c r="E495" i="5"/>
  <c r="D495" i="5"/>
  <c r="F494" i="5"/>
  <c r="E494" i="5"/>
  <c r="D494" i="5"/>
  <c r="F493" i="5"/>
  <c r="E493" i="5"/>
  <c r="D493" i="5"/>
  <c r="F492" i="5"/>
  <c r="E492" i="5"/>
  <c r="D492" i="5"/>
  <c r="F491" i="5"/>
  <c r="E491" i="5"/>
  <c r="D491" i="5"/>
  <c r="F490" i="5"/>
  <c r="E490" i="5"/>
  <c r="D490" i="5"/>
  <c r="F489" i="5"/>
  <c r="E489" i="5"/>
  <c r="D489" i="5"/>
  <c r="F488" i="5"/>
  <c r="E488" i="5"/>
  <c r="D488" i="5"/>
  <c r="F487" i="5"/>
  <c r="E487" i="5"/>
  <c r="D487" i="5"/>
  <c r="F486" i="5"/>
  <c r="E486" i="5"/>
  <c r="D486" i="5"/>
  <c r="F485" i="5"/>
  <c r="E485" i="5"/>
  <c r="D485" i="5"/>
  <c r="F484" i="5"/>
  <c r="E484" i="5"/>
  <c r="D484" i="5"/>
  <c r="F483" i="5"/>
  <c r="E483" i="5"/>
  <c r="D483" i="5"/>
  <c r="F482" i="5"/>
  <c r="E482" i="5"/>
  <c r="D482" i="5"/>
  <c r="F481" i="5"/>
  <c r="E481" i="5"/>
  <c r="D481" i="5"/>
  <c r="F480" i="5"/>
  <c r="E480" i="5"/>
  <c r="D480" i="5"/>
  <c r="F479" i="5"/>
  <c r="E479" i="5"/>
  <c r="D479" i="5"/>
  <c r="F478" i="5"/>
  <c r="E478" i="5"/>
  <c r="D478" i="5"/>
  <c r="F477" i="5"/>
  <c r="E477" i="5"/>
  <c r="D477" i="5"/>
  <c r="F476" i="5"/>
  <c r="E476" i="5"/>
  <c r="D476" i="5"/>
  <c r="F475" i="5"/>
  <c r="E475" i="5"/>
  <c r="D475" i="5"/>
  <c r="F474" i="5"/>
  <c r="E474" i="5"/>
  <c r="D474" i="5"/>
  <c r="F473" i="5"/>
  <c r="E473" i="5"/>
  <c r="D473" i="5"/>
  <c r="F472" i="5"/>
  <c r="E472" i="5"/>
  <c r="D472" i="5"/>
  <c r="F471" i="5"/>
  <c r="E471" i="5"/>
  <c r="D471" i="5"/>
  <c r="F470" i="5"/>
  <c r="E470" i="5"/>
  <c r="D470" i="5"/>
  <c r="F469" i="5"/>
  <c r="E469" i="5"/>
  <c r="D469" i="5"/>
  <c r="F468" i="5"/>
  <c r="E468" i="5"/>
  <c r="D468" i="5"/>
  <c r="F467" i="5"/>
  <c r="E467" i="5"/>
  <c r="D467" i="5"/>
  <c r="F466" i="5"/>
  <c r="E466" i="5"/>
  <c r="D466" i="5"/>
  <c r="F465" i="5"/>
  <c r="E465" i="5"/>
  <c r="D465" i="5"/>
  <c r="F464" i="5"/>
  <c r="E464" i="5"/>
  <c r="D464" i="5"/>
  <c r="F463" i="5"/>
  <c r="E463" i="5"/>
  <c r="D463" i="5"/>
  <c r="F462" i="5"/>
  <c r="E462" i="5"/>
  <c r="D462" i="5"/>
  <c r="F461" i="5"/>
  <c r="E461" i="5"/>
  <c r="D461" i="5"/>
  <c r="F460" i="5"/>
  <c r="E460" i="5"/>
  <c r="D460" i="5"/>
  <c r="F459" i="5"/>
  <c r="E459" i="5"/>
  <c r="D459" i="5"/>
  <c r="F458" i="5"/>
  <c r="E458" i="5"/>
  <c r="D458" i="5"/>
  <c r="F457" i="5"/>
  <c r="E457" i="5"/>
  <c r="D457" i="5"/>
  <c r="F456" i="5"/>
  <c r="E456" i="5"/>
  <c r="D456" i="5"/>
  <c r="F455" i="5"/>
  <c r="E455" i="5"/>
  <c r="D455" i="5"/>
  <c r="F454" i="5"/>
  <c r="E454" i="5"/>
  <c r="D454" i="5"/>
  <c r="F453" i="5"/>
  <c r="E453" i="5"/>
  <c r="D453" i="5"/>
  <c r="F452" i="5"/>
  <c r="E452" i="5"/>
  <c r="D452" i="5"/>
  <c r="F451" i="5"/>
  <c r="E451" i="5"/>
  <c r="D451" i="5"/>
  <c r="F450" i="5"/>
  <c r="E450" i="5"/>
  <c r="D450" i="5"/>
  <c r="F449" i="5"/>
  <c r="E449" i="5"/>
  <c r="D449" i="5"/>
  <c r="F448" i="5"/>
  <c r="E448" i="5"/>
  <c r="D448" i="5"/>
  <c r="F447" i="5"/>
  <c r="E447" i="5"/>
  <c r="D447" i="5"/>
  <c r="F446" i="5"/>
  <c r="E446" i="5"/>
  <c r="D446" i="5"/>
  <c r="F445" i="5"/>
  <c r="E445" i="5"/>
  <c r="D445" i="5"/>
  <c r="F444" i="5"/>
  <c r="E444" i="5"/>
  <c r="D444" i="5"/>
  <c r="F443" i="5"/>
  <c r="E443" i="5"/>
  <c r="D443" i="5"/>
  <c r="F442" i="5"/>
  <c r="E442" i="5"/>
  <c r="D442" i="5"/>
  <c r="F441" i="5"/>
  <c r="E441" i="5"/>
  <c r="D441" i="5"/>
  <c r="F440" i="5"/>
  <c r="E440" i="5"/>
  <c r="D440" i="5"/>
  <c r="F439" i="5"/>
  <c r="E439" i="5"/>
  <c r="D439" i="5"/>
  <c r="F438" i="5"/>
  <c r="E438" i="5"/>
  <c r="D438" i="5"/>
  <c r="F437" i="5"/>
  <c r="E437" i="5"/>
  <c r="D437" i="5"/>
  <c r="F436" i="5"/>
  <c r="E436" i="5"/>
  <c r="D436" i="5"/>
  <c r="F435" i="5"/>
  <c r="E435" i="5"/>
  <c r="D435" i="5"/>
  <c r="F434" i="5"/>
  <c r="E434" i="5"/>
  <c r="D434" i="5"/>
  <c r="F433" i="5"/>
  <c r="E433" i="5"/>
  <c r="D433" i="5"/>
  <c r="F432" i="5"/>
  <c r="E432" i="5"/>
  <c r="D432" i="5"/>
  <c r="F431" i="5"/>
  <c r="E431" i="5"/>
  <c r="D431" i="5"/>
  <c r="F430" i="5"/>
  <c r="E430" i="5"/>
  <c r="D430" i="5"/>
  <c r="F429" i="5"/>
  <c r="E429" i="5"/>
  <c r="D429" i="5"/>
  <c r="F428" i="5"/>
  <c r="E428" i="5"/>
  <c r="D428" i="5"/>
  <c r="F427" i="5"/>
  <c r="E427" i="5"/>
  <c r="D427" i="5"/>
  <c r="F426" i="5"/>
  <c r="E426" i="5"/>
  <c r="D426" i="5"/>
  <c r="F425" i="5"/>
  <c r="E425" i="5"/>
  <c r="D425" i="5"/>
  <c r="F424" i="5"/>
  <c r="E424" i="5"/>
  <c r="D424" i="5"/>
  <c r="F423" i="5"/>
  <c r="E423" i="5"/>
  <c r="D423" i="5"/>
  <c r="F422" i="5"/>
  <c r="E422" i="5"/>
  <c r="D422" i="5"/>
  <c r="F421" i="5"/>
  <c r="E421" i="5"/>
  <c r="D421" i="5"/>
  <c r="F420" i="5"/>
  <c r="E420" i="5"/>
  <c r="D420" i="5"/>
  <c r="F419" i="5"/>
  <c r="E419" i="5"/>
  <c r="D419" i="5"/>
  <c r="F418" i="5"/>
  <c r="E418" i="5"/>
  <c r="D418" i="5"/>
  <c r="F417" i="5"/>
  <c r="E417" i="5"/>
  <c r="D417" i="5"/>
  <c r="F416" i="5"/>
  <c r="E416" i="5"/>
  <c r="D416" i="5"/>
  <c r="F415" i="5"/>
  <c r="E415" i="5"/>
  <c r="D415" i="5"/>
  <c r="F414" i="5"/>
  <c r="E414" i="5"/>
  <c r="D414" i="5"/>
  <c r="F413" i="5"/>
  <c r="E413" i="5"/>
  <c r="D413" i="5"/>
  <c r="F412" i="5"/>
  <c r="E412" i="5"/>
  <c r="D412" i="5"/>
  <c r="F411" i="5"/>
  <c r="E411" i="5"/>
  <c r="D411" i="5"/>
  <c r="F410" i="5"/>
  <c r="E410" i="5"/>
  <c r="D410" i="5"/>
  <c r="F409" i="5"/>
  <c r="E409" i="5"/>
  <c r="D409" i="5"/>
  <c r="F408" i="5"/>
  <c r="E408" i="5"/>
  <c r="D408" i="5"/>
  <c r="F407" i="5"/>
  <c r="E407" i="5"/>
  <c r="D407" i="5"/>
  <c r="F406" i="5"/>
  <c r="E406" i="5"/>
  <c r="D406" i="5"/>
  <c r="F405" i="5"/>
  <c r="E405" i="5"/>
  <c r="D405" i="5"/>
  <c r="F404" i="5"/>
  <c r="E404" i="5"/>
  <c r="D404" i="5"/>
  <c r="F403" i="5"/>
  <c r="E403" i="5"/>
  <c r="D403" i="5"/>
  <c r="F402" i="5"/>
  <c r="E402" i="5"/>
  <c r="D402" i="5"/>
  <c r="F401" i="5"/>
  <c r="E401" i="5"/>
  <c r="D401" i="5"/>
  <c r="F400" i="5"/>
  <c r="E400" i="5"/>
  <c r="D400" i="5"/>
  <c r="F399" i="5"/>
  <c r="E399" i="5"/>
  <c r="D399" i="5"/>
  <c r="F398" i="5"/>
  <c r="E398" i="5"/>
  <c r="D398" i="5"/>
  <c r="F397" i="5"/>
  <c r="E397" i="5"/>
  <c r="D397" i="5"/>
  <c r="F396" i="5"/>
  <c r="E396" i="5"/>
  <c r="D396" i="5"/>
  <c r="F395" i="5"/>
  <c r="E395" i="5"/>
  <c r="D395" i="5"/>
  <c r="F394" i="5"/>
  <c r="E394" i="5"/>
  <c r="D394" i="5"/>
  <c r="F393" i="5"/>
  <c r="E393" i="5"/>
  <c r="D393" i="5"/>
  <c r="F392" i="5"/>
  <c r="E392" i="5"/>
  <c r="D392" i="5"/>
  <c r="F391" i="5"/>
  <c r="E391" i="5"/>
  <c r="D391" i="5"/>
  <c r="F390" i="5"/>
  <c r="E390" i="5"/>
  <c r="D390" i="5"/>
  <c r="F389" i="5"/>
  <c r="E389" i="5"/>
  <c r="D389" i="5"/>
  <c r="F388" i="5"/>
  <c r="E388" i="5"/>
  <c r="D388" i="5"/>
  <c r="F387" i="5"/>
  <c r="E387" i="5"/>
  <c r="D387" i="5"/>
  <c r="F386" i="5"/>
  <c r="E386" i="5"/>
  <c r="D386" i="5"/>
  <c r="F385" i="5"/>
  <c r="E385" i="5"/>
  <c r="D385" i="5"/>
  <c r="F384" i="5"/>
  <c r="E384" i="5"/>
  <c r="D384" i="5"/>
  <c r="F383" i="5"/>
  <c r="E383" i="5"/>
  <c r="D383" i="5"/>
  <c r="F382" i="5"/>
  <c r="E382" i="5"/>
  <c r="D382" i="5"/>
  <c r="F381" i="5"/>
  <c r="E381" i="5"/>
  <c r="D381" i="5"/>
  <c r="F380" i="5"/>
  <c r="E380" i="5"/>
  <c r="D380" i="5"/>
  <c r="F379" i="5"/>
  <c r="E379" i="5"/>
  <c r="D379" i="5"/>
  <c r="F378" i="5"/>
  <c r="E378" i="5"/>
  <c r="D378" i="5"/>
  <c r="F377" i="5"/>
  <c r="E377" i="5"/>
  <c r="D377" i="5"/>
  <c r="F376" i="5"/>
  <c r="E376" i="5"/>
  <c r="D376" i="5"/>
  <c r="F375" i="5"/>
  <c r="E375" i="5"/>
  <c r="D375" i="5"/>
  <c r="F374" i="5"/>
  <c r="E374" i="5"/>
  <c r="D374" i="5"/>
  <c r="F373" i="5"/>
  <c r="E373" i="5"/>
  <c r="D373" i="5"/>
  <c r="F372" i="5"/>
  <c r="E372" i="5"/>
  <c r="D372" i="5"/>
  <c r="F371" i="5"/>
  <c r="E371" i="5"/>
  <c r="D371" i="5"/>
  <c r="F370" i="5"/>
  <c r="E370" i="5"/>
  <c r="D370" i="5"/>
  <c r="F369" i="5"/>
  <c r="E369" i="5"/>
  <c r="D369" i="5"/>
  <c r="F368" i="5"/>
  <c r="E368" i="5"/>
  <c r="D368" i="5"/>
  <c r="F367" i="5"/>
  <c r="E367" i="5"/>
  <c r="D367" i="5"/>
  <c r="F366" i="5"/>
  <c r="E366" i="5"/>
  <c r="D366" i="5"/>
  <c r="F365" i="5"/>
  <c r="E365" i="5"/>
  <c r="D365" i="5"/>
  <c r="F364" i="5"/>
  <c r="E364" i="5"/>
  <c r="D364" i="5"/>
  <c r="F363" i="5"/>
  <c r="E363" i="5"/>
  <c r="D363" i="5"/>
  <c r="F362" i="5"/>
  <c r="E362" i="5"/>
  <c r="D362" i="5"/>
  <c r="F361" i="5"/>
  <c r="E361" i="5"/>
  <c r="D361" i="5"/>
  <c r="F360" i="5"/>
  <c r="E360" i="5"/>
  <c r="D360" i="5"/>
  <c r="F359" i="5"/>
  <c r="E359" i="5"/>
  <c r="D359" i="5"/>
  <c r="F358" i="5"/>
  <c r="E358" i="5"/>
  <c r="D358" i="5"/>
  <c r="F357" i="5"/>
  <c r="E357" i="5"/>
  <c r="D357" i="5"/>
  <c r="F356" i="5"/>
  <c r="E356" i="5"/>
  <c r="D356" i="5"/>
  <c r="F355" i="5"/>
  <c r="E355" i="5"/>
  <c r="D355" i="5"/>
  <c r="F354" i="5"/>
  <c r="E354" i="5"/>
  <c r="D354" i="5"/>
  <c r="F353" i="5"/>
  <c r="E353" i="5"/>
  <c r="D353" i="5"/>
  <c r="F352" i="5"/>
  <c r="E352" i="5"/>
  <c r="D352" i="5"/>
  <c r="F351" i="5"/>
  <c r="E351" i="5"/>
  <c r="D351" i="5"/>
  <c r="F350" i="5"/>
  <c r="E350" i="5"/>
  <c r="D350" i="5"/>
  <c r="F349" i="5"/>
  <c r="E349" i="5"/>
  <c r="D349" i="5"/>
  <c r="F348" i="5"/>
  <c r="E348" i="5"/>
  <c r="D348" i="5"/>
  <c r="F347" i="5"/>
  <c r="E347" i="5"/>
  <c r="D347" i="5"/>
  <c r="F346" i="5"/>
  <c r="E346" i="5"/>
  <c r="D346" i="5"/>
  <c r="F345" i="5"/>
  <c r="E345" i="5"/>
  <c r="D345" i="5"/>
  <c r="F344" i="5"/>
  <c r="E344" i="5"/>
  <c r="D344" i="5"/>
  <c r="F343" i="5"/>
  <c r="E343" i="5"/>
  <c r="D343" i="5"/>
  <c r="F342" i="5"/>
  <c r="E342" i="5"/>
  <c r="D342" i="5"/>
  <c r="F341" i="5"/>
  <c r="E341" i="5"/>
  <c r="D341" i="5"/>
  <c r="F340" i="5"/>
  <c r="E340" i="5"/>
  <c r="D340" i="5"/>
  <c r="F339" i="5"/>
  <c r="E339" i="5"/>
  <c r="D339" i="5"/>
  <c r="F338" i="5"/>
  <c r="E338" i="5"/>
  <c r="D338" i="5"/>
  <c r="F337" i="5"/>
  <c r="E337" i="5"/>
  <c r="D337" i="5"/>
  <c r="F336" i="5"/>
  <c r="E336" i="5"/>
  <c r="D336" i="5"/>
  <c r="F335" i="5"/>
  <c r="E335" i="5"/>
  <c r="D335" i="5"/>
  <c r="F334" i="5"/>
  <c r="E334" i="5"/>
  <c r="D334" i="5"/>
  <c r="F333" i="5"/>
  <c r="E333" i="5"/>
  <c r="D333" i="5"/>
  <c r="F332" i="5"/>
  <c r="E332" i="5"/>
  <c r="D332" i="5"/>
  <c r="F331" i="5"/>
  <c r="E331" i="5"/>
  <c r="D331" i="5"/>
  <c r="F330" i="5"/>
  <c r="E330" i="5"/>
  <c r="D330" i="5"/>
  <c r="F329" i="5"/>
  <c r="E329" i="5"/>
  <c r="D329" i="5"/>
  <c r="F328" i="5"/>
  <c r="E328" i="5"/>
  <c r="D328" i="5"/>
  <c r="F327" i="5"/>
  <c r="E327" i="5"/>
  <c r="D327" i="5"/>
  <c r="F326" i="5"/>
  <c r="E326" i="5"/>
  <c r="D326" i="5"/>
  <c r="F325" i="5"/>
  <c r="E325" i="5"/>
  <c r="D325" i="5"/>
  <c r="F324" i="5"/>
  <c r="E324" i="5"/>
  <c r="D324" i="5"/>
  <c r="F323" i="5"/>
  <c r="E323" i="5"/>
  <c r="D323" i="5"/>
  <c r="F322" i="5"/>
  <c r="E322" i="5"/>
  <c r="D322" i="5"/>
  <c r="F321" i="5"/>
  <c r="E321" i="5"/>
  <c r="D321" i="5"/>
  <c r="F320" i="5"/>
  <c r="E320" i="5"/>
  <c r="D320" i="5"/>
  <c r="F319" i="5"/>
  <c r="E319" i="5"/>
  <c r="D319" i="5"/>
  <c r="F318" i="5"/>
  <c r="E318" i="5"/>
  <c r="D318" i="5"/>
  <c r="F317" i="5"/>
  <c r="E317" i="5"/>
  <c r="D317" i="5"/>
  <c r="F316" i="5"/>
  <c r="E316" i="5"/>
  <c r="D316" i="5"/>
  <c r="F315" i="5"/>
  <c r="E315" i="5"/>
  <c r="D315" i="5"/>
  <c r="F314" i="5"/>
  <c r="E314" i="5"/>
  <c r="D314" i="5"/>
  <c r="F313" i="5"/>
  <c r="E313" i="5"/>
  <c r="D313" i="5"/>
  <c r="F312" i="5"/>
  <c r="E312" i="5"/>
  <c r="D312" i="5"/>
  <c r="F311" i="5"/>
  <c r="E311" i="5"/>
  <c r="D311" i="5"/>
  <c r="F310" i="5"/>
  <c r="E310" i="5"/>
  <c r="D310" i="5"/>
  <c r="F309" i="5"/>
  <c r="E309" i="5"/>
  <c r="D309" i="5"/>
  <c r="F308" i="5"/>
  <c r="E308" i="5"/>
  <c r="D308" i="5"/>
  <c r="F307" i="5"/>
  <c r="E307" i="5"/>
  <c r="D307" i="5"/>
  <c r="F306" i="5"/>
  <c r="E306" i="5"/>
  <c r="D306" i="5"/>
  <c r="F305" i="5"/>
  <c r="E305" i="5"/>
  <c r="D305" i="5"/>
  <c r="F304" i="5"/>
  <c r="E304" i="5"/>
  <c r="D304" i="5"/>
  <c r="F303" i="5"/>
  <c r="E303" i="5"/>
  <c r="D303" i="5"/>
  <c r="F302" i="5"/>
  <c r="E302" i="5"/>
  <c r="D302" i="5"/>
  <c r="F301" i="5"/>
  <c r="E301" i="5"/>
  <c r="D301" i="5"/>
  <c r="F300" i="5"/>
  <c r="E300" i="5"/>
  <c r="D300" i="5"/>
  <c r="F299" i="5"/>
  <c r="E299" i="5"/>
  <c r="D299" i="5"/>
  <c r="F298" i="5"/>
  <c r="E298" i="5"/>
  <c r="D298" i="5"/>
  <c r="F297" i="5"/>
  <c r="E297" i="5"/>
  <c r="D297" i="5"/>
  <c r="F296" i="5"/>
  <c r="E296" i="5"/>
  <c r="D296" i="5"/>
  <c r="F295" i="5"/>
  <c r="E295" i="5"/>
  <c r="D295" i="5"/>
  <c r="F294" i="5"/>
  <c r="E294" i="5"/>
  <c r="D294" i="5"/>
  <c r="F293" i="5"/>
  <c r="E293" i="5"/>
  <c r="D293" i="5"/>
  <c r="F292" i="5"/>
  <c r="E292" i="5"/>
  <c r="D292" i="5"/>
  <c r="F291" i="5"/>
  <c r="E291" i="5"/>
  <c r="D291" i="5"/>
  <c r="F290" i="5"/>
  <c r="E290" i="5"/>
  <c r="D290" i="5"/>
  <c r="F289" i="5"/>
  <c r="E289" i="5"/>
  <c r="D289" i="5"/>
  <c r="F288" i="5"/>
  <c r="E288" i="5"/>
  <c r="D288" i="5"/>
  <c r="F287" i="5"/>
  <c r="E287" i="5"/>
  <c r="D287" i="5"/>
  <c r="F286" i="5"/>
  <c r="E286" i="5"/>
  <c r="D286" i="5"/>
  <c r="F285" i="5"/>
  <c r="E285" i="5"/>
  <c r="D285" i="5"/>
  <c r="F284" i="5"/>
  <c r="E284" i="5"/>
  <c r="D284" i="5"/>
  <c r="F283" i="5"/>
  <c r="E283" i="5"/>
  <c r="D283" i="5"/>
  <c r="F282" i="5"/>
  <c r="E282" i="5"/>
  <c r="D282" i="5"/>
  <c r="F281" i="5"/>
  <c r="E281" i="5"/>
  <c r="D281" i="5"/>
  <c r="F280" i="5"/>
  <c r="E280" i="5"/>
  <c r="D280" i="5"/>
  <c r="F279" i="5"/>
  <c r="E279" i="5"/>
  <c r="D279" i="5"/>
  <c r="F278" i="5"/>
  <c r="E278" i="5"/>
  <c r="D278" i="5"/>
  <c r="F277" i="5"/>
  <c r="E277" i="5"/>
  <c r="D277" i="5"/>
  <c r="F276" i="5"/>
  <c r="E276" i="5"/>
  <c r="D276" i="5"/>
  <c r="F275" i="5"/>
  <c r="E275" i="5"/>
  <c r="D275" i="5"/>
  <c r="F274" i="5"/>
  <c r="E274" i="5"/>
  <c r="D274" i="5"/>
  <c r="F273" i="5"/>
  <c r="E273" i="5"/>
  <c r="D273" i="5"/>
  <c r="F272" i="5"/>
  <c r="E272" i="5"/>
  <c r="D272" i="5"/>
  <c r="F271" i="5"/>
  <c r="E271" i="5"/>
  <c r="D271" i="5"/>
  <c r="F270" i="5"/>
  <c r="E270" i="5"/>
  <c r="D270" i="5"/>
  <c r="F269" i="5"/>
  <c r="E269" i="5"/>
  <c r="D269" i="5"/>
  <c r="F268" i="5"/>
  <c r="E268" i="5"/>
  <c r="D268" i="5"/>
  <c r="F267" i="5"/>
  <c r="E267" i="5"/>
  <c r="D267" i="5"/>
  <c r="F266" i="5"/>
  <c r="E266" i="5"/>
  <c r="D266" i="5"/>
  <c r="F265" i="5"/>
  <c r="E265" i="5"/>
  <c r="D265" i="5"/>
  <c r="F264" i="5"/>
  <c r="E264" i="5"/>
  <c r="D264" i="5"/>
  <c r="F263" i="5"/>
  <c r="E263" i="5"/>
  <c r="D263" i="5"/>
  <c r="F262" i="5"/>
  <c r="E262" i="5"/>
  <c r="D262" i="5"/>
  <c r="F261" i="5"/>
  <c r="E261" i="5"/>
  <c r="D261" i="5"/>
  <c r="F260" i="5"/>
  <c r="E260" i="5"/>
  <c r="D260" i="5"/>
  <c r="F259" i="5"/>
  <c r="E259" i="5"/>
  <c r="D259" i="5"/>
  <c r="F258" i="5"/>
  <c r="E258" i="5"/>
  <c r="D258" i="5"/>
  <c r="F257" i="5"/>
  <c r="E257" i="5"/>
  <c r="D257" i="5"/>
  <c r="F256" i="5"/>
  <c r="E256" i="5"/>
  <c r="D256" i="5"/>
  <c r="F255" i="5"/>
  <c r="E255" i="5"/>
  <c r="D255" i="5"/>
  <c r="F254" i="5"/>
  <c r="E254" i="5"/>
  <c r="D254" i="5"/>
  <c r="F253" i="5"/>
  <c r="E253" i="5"/>
  <c r="D253" i="5"/>
  <c r="F252" i="5"/>
  <c r="E252" i="5"/>
  <c r="D252" i="5"/>
  <c r="F251" i="5"/>
  <c r="E251" i="5"/>
  <c r="D251" i="5"/>
  <c r="F250" i="5"/>
  <c r="E250" i="5"/>
  <c r="D250" i="5"/>
  <c r="F249" i="5"/>
  <c r="E249" i="5"/>
  <c r="D249" i="5"/>
  <c r="F248" i="5"/>
  <c r="E248" i="5"/>
  <c r="D248" i="5"/>
  <c r="F247" i="5"/>
  <c r="E247" i="5"/>
  <c r="D247" i="5"/>
  <c r="F246" i="5"/>
  <c r="E246" i="5"/>
  <c r="D246" i="5"/>
  <c r="F245" i="5"/>
  <c r="E245" i="5"/>
  <c r="D245" i="5"/>
  <c r="F244" i="5"/>
  <c r="E244" i="5"/>
  <c r="D244" i="5"/>
  <c r="F243" i="5"/>
  <c r="E243" i="5"/>
  <c r="D243" i="5"/>
  <c r="F242" i="5"/>
  <c r="E242" i="5"/>
  <c r="D242" i="5"/>
  <c r="F241" i="5"/>
  <c r="E241" i="5"/>
  <c r="D241" i="5"/>
  <c r="F240" i="5"/>
  <c r="E240" i="5"/>
  <c r="D240" i="5"/>
  <c r="F239" i="5"/>
  <c r="E239" i="5"/>
  <c r="D239" i="5"/>
  <c r="F238" i="5"/>
  <c r="E238" i="5"/>
  <c r="D238" i="5"/>
  <c r="F237" i="5"/>
  <c r="E237" i="5"/>
  <c r="D237" i="5"/>
  <c r="F236" i="5"/>
  <c r="E236" i="5"/>
  <c r="D236" i="5"/>
  <c r="F235" i="5"/>
  <c r="E235" i="5"/>
  <c r="D235" i="5"/>
  <c r="F234" i="5"/>
  <c r="E234" i="5"/>
  <c r="D234" i="5"/>
  <c r="F233" i="5"/>
  <c r="E233" i="5"/>
  <c r="D233" i="5"/>
  <c r="F232" i="5"/>
  <c r="E232" i="5"/>
  <c r="D232" i="5"/>
  <c r="F231" i="5"/>
  <c r="E231" i="5"/>
  <c r="D231" i="5"/>
  <c r="F230" i="5"/>
  <c r="E230" i="5"/>
  <c r="D230" i="5"/>
  <c r="F229" i="5"/>
  <c r="E229" i="5"/>
  <c r="D229" i="5"/>
  <c r="F228" i="5"/>
  <c r="E228" i="5"/>
  <c r="D228" i="5"/>
  <c r="F227" i="5"/>
  <c r="E227" i="5"/>
  <c r="D227" i="5"/>
  <c r="F226" i="5"/>
  <c r="E226" i="5"/>
  <c r="D226" i="5"/>
  <c r="F225" i="5"/>
  <c r="E225" i="5"/>
  <c r="D225" i="5"/>
  <c r="F224" i="5"/>
  <c r="E224" i="5"/>
  <c r="D224" i="5"/>
  <c r="F223" i="5"/>
  <c r="E223" i="5"/>
  <c r="D223" i="5"/>
  <c r="F222" i="5"/>
  <c r="E222" i="5"/>
  <c r="D222" i="5"/>
  <c r="F221" i="5"/>
  <c r="E221" i="5"/>
  <c r="D221" i="5"/>
  <c r="F220" i="5"/>
  <c r="E220" i="5"/>
  <c r="D220" i="5"/>
  <c r="F219" i="5"/>
  <c r="E219" i="5"/>
  <c r="D219" i="5"/>
  <c r="F218" i="5"/>
  <c r="E218" i="5"/>
  <c r="D218" i="5"/>
  <c r="F217" i="5"/>
  <c r="E217" i="5"/>
  <c r="D217" i="5"/>
  <c r="F216" i="5"/>
  <c r="E216" i="5"/>
  <c r="D216" i="5"/>
  <c r="F215" i="5"/>
  <c r="E215" i="5"/>
  <c r="D215" i="5"/>
  <c r="F214" i="5"/>
  <c r="E214" i="5"/>
  <c r="D214" i="5"/>
  <c r="F213" i="5"/>
  <c r="E213" i="5"/>
  <c r="D213" i="5"/>
  <c r="F212" i="5"/>
  <c r="E212" i="5"/>
  <c r="D212" i="5"/>
  <c r="F211" i="5"/>
  <c r="E211" i="5"/>
  <c r="D211" i="5"/>
  <c r="F210" i="5"/>
  <c r="E210" i="5"/>
  <c r="D210" i="5"/>
  <c r="F209" i="5"/>
  <c r="E209" i="5"/>
  <c r="D209" i="5"/>
  <c r="F208" i="5"/>
  <c r="E208" i="5"/>
  <c r="D208" i="5"/>
  <c r="F207" i="5"/>
  <c r="E207" i="5"/>
  <c r="D207" i="5"/>
  <c r="F206" i="5"/>
  <c r="E206" i="5"/>
  <c r="D206" i="5"/>
  <c r="F205" i="5"/>
  <c r="E205" i="5"/>
  <c r="D205" i="5"/>
  <c r="F204" i="5"/>
  <c r="E204" i="5"/>
  <c r="D204" i="5"/>
  <c r="F203" i="5"/>
  <c r="E203" i="5"/>
  <c r="D203" i="5"/>
  <c r="F202" i="5"/>
  <c r="E202" i="5"/>
  <c r="D202" i="5"/>
  <c r="F201" i="5"/>
  <c r="E201" i="5"/>
  <c r="D201" i="5"/>
  <c r="F200" i="5"/>
  <c r="E200" i="5"/>
  <c r="D200" i="5"/>
  <c r="F199" i="5"/>
  <c r="E199" i="5"/>
  <c r="D199" i="5"/>
  <c r="F198" i="5"/>
  <c r="E198" i="5"/>
  <c r="D198" i="5"/>
  <c r="F197" i="5"/>
  <c r="E197" i="5"/>
  <c r="D197" i="5"/>
  <c r="F196" i="5"/>
  <c r="E196" i="5"/>
  <c r="D196" i="5"/>
  <c r="F195" i="5"/>
  <c r="E195" i="5"/>
  <c r="D195" i="5"/>
  <c r="F194" i="5"/>
  <c r="E194" i="5"/>
  <c r="D194" i="5"/>
  <c r="F193" i="5"/>
  <c r="E193" i="5"/>
  <c r="D193" i="5"/>
  <c r="F192" i="5"/>
  <c r="E192" i="5"/>
  <c r="D192" i="5"/>
  <c r="F191" i="5"/>
  <c r="E191" i="5"/>
  <c r="D191" i="5"/>
  <c r="F190" i="5"/>
  <c r="E190" i="5"/>
  <c r="D190" i="5"/>
  <c r="F189" i="5"/>
  <c r="E189" i="5"/>
  <c r="D189" i="5"/>
  <c r="F188" i="5"/>
  <c r="E188" i="5"/>
  <c r="D188" i="5"/>
  <c r="F187" i="5"/>
  <c r="E187" i="5"/>
  <c r="D187" i="5"/>
  <c r="F186" i="5"/>
  <c r="E186" i="5"/>
  <c r="D186" i="5"/>
  <c r="F185" i="5"/>
  <c r="E185" i="5"/>
  <c r="D185" i="5"/>
  <c r="F184" i="5"/>
  <c r="E184" i="5"/>
  <c r="D184" i="5"/>
  <c r="F183" i="5"/>
  <c r="E183" i="5"/>
  <c r="D183" i="5"/>
  <c r="F182" i="5"/>
  <c r="E182" i="5"/>
  <c r="D182" i="5"/>
  <c r="F181" i="5"/>
  <c r="E181" i="5"/>
  <c r="D181" i="5"/>
  <c r="F180" i="5"/>
  <c r="E180" i="5"/>
  <c r="D180" i="5"/>
  <c r="F179" i="5"/>
  <c r="E179" i="5"/>
  <c r="D179" i="5"/>
  <c r="F178" i="5"/>
  <c r="E178" i="5"/>
  <c r="D178" i="5"/>
  <c r="F177" i="5"/>
  <c r="E177" i="5"/>
  <c r="D177" i="5"/>
  <c r="F176" i="5"/>
  <c r="E176" i="5"/>
  <c r="D176" i="5"/>
  <c r="F175" i="5"/>
  <c r="E175" i="5"/>
  <c r="D175" i="5"/>
  <c r="F174" i="5"/>
  <c r="E174" i="5"/>
  <c r="D174" i="5"/>
  <c r="F173" i="5"/>
  <c r="E173" i="5"/>
  <c r="D173" i="5"/>
  <c r="F172" i="5"/>
  <c r="E172" i="5"/>
  <c r="D172" i="5"/>
  <c r="F171" i="5"/>
  <c r="E171" i="5"/>
  <c r="D171" i="5"/>
  <c r="F170" i="5"/>
  <c r="E170" i="5"/>
  <c r="D170" i="5"/>
  <c r="F169" i="5"/>
  <c r="E169" i="5"/>
  <c r="D169" i="5"/>
  <c r="F168" i="5"/>
  <c r="E168" i="5"/>
  <c r="D168" i="5"/>
  <c r="F167" i="5"/>
  <c r="E167" i="5"/>
  <c r="D167" i="5"/>
  <c r="F166" i="5"/>
  <c r="E166" i="5"/>
  <c r="D166" i="5"/>
  <c r="F165" i="5"/>
  <c r="E165" i="5"/>
  <c r="D165" i="5"/>
  <c r="F164" i="5"/>
  <c r="E164" i="5"/>
  <c r="D164" i="5"/>
  <c r="F163" i="5"/>
  <c r="E163" i="5"/>
  <c r="D163" i="5"/>
  <c r="F162" i="5"/>
  <c r="E162" i="5"/>
  <c r="D162" i="5"/>
  <c r="F161" i="5"/>
  <c r="E161" i="5"/>
  <c r="D161" i="5"/>
  <c r="F160" i="5"/>
  <c r="E160" i="5"/>
  <c r="D160" i="5"/>
  <c r="F159" i="5"/>
  <c r="E159" i="5"/>
  <c r="D159" i="5"/>
  <c r="F158" i="5"/>
  <c r="E158" i="5"/>
  <c r="D158" i="5"/>
  <c r="F157" i="5"/>
  <c r="E157" i="5"/>
  <c r="D157" i="5"/>
  <c r="F156" i="5"/>
  <c r="E156" i="5"/>
  <c r="D156" i="5"/>
  <c r="F155" i="5"/>
  <c r="E155" i="5"/>
  <c r="D155" i="5"/>
  <c r="F154" i="5"/>
  <c r="E154" i="5"/>
  <c r="D154" i="5"/>
  <c r="F153" i="5"/>
  <c r="E153" i="5"/>
  <c r="D153" i="5"/>
  <c r="F152" i="5"/>
  <c r="E152" i="5"/>
  <c r="D152" i="5"/>
  <c r="F151" i="5"/>
  <c r="E151" i="5"/>
  <c r="D151" i="5"/>
  <c r="F150" i="5"/>
  <c r="E150" i="5"/>
  <c r="D150" i="5"/>
  <c r="F149" i="5"/>
  <c r="E149" i="5"/>
  <c r="D149" i="5"/>
  <c r="F148" i="5"/>
  <c r="E148" i="5"/>
  <c r="D148" i="5"/>
  <c r="F147" i="5"/>
  <c r="E147" i="5"/>
  <c r="D147" i="5"/>
  <c r="F146" i="5"/>
  <c r="E146" i="5"/>
  <c r="D146" i="5"/>
  <c r="F145" i="5"/>
  <c r="E145" i="5"/>
  <c r="D145" i="5"/>
  <c r="F144" i="5"/>
  <c r="E144" i="5"/>
  <c r="D144" i="5"/>
  <c r="F143" i="5"/>
  <c r="E143" i="5"/>
  <c r="D143" i="5"/>
  <c r="F142" i="5"/>
  <c r="E142" i="5"/>
  <c r="D142" i="5"/>
  <c r="F141" i="5"/>
  <c r="E141" i="5"/>
  <c r="D141" i="5"/>
  <c r="F140" i="5"/>
  <c r="E140" i="5"/>
  <c r="D140" i="5"/>
  <c r="F139" i="5"/>
  <c r="E139" i="5"/>
  <c r="D139" i="5"/>
  <c r="F138" i="5"/>
  <c r="E138" i="5"/>
  <c r="D138" i="5"/>
  <c r="F137" i="5"/>
  <c r="E137" i="5"/>
  <c r="D137" i="5"/>
  <c r="F136" i="5"/>
  <c r="E136" i="5"/>
  <c r="D136" i="5"/>
  <c r="F135" i="5"/>
  <c r="E135" i="5"/>
  <c r="D135" i="5"/>
  <c r="F134" i="5"/>
  <c r="E134" i="5"/>
  <c r="D134" i="5"/>
  <c r="F133" i="5"/>
  <c r="E133" i="5"/>
  <c r="D133" i="5"/>
  <c r="F132" i="5"/>
  <c r="E132" i="5"/>
  <c r="D132" i="5"/>
  <c r="F131" i="5"/>
  <c r="E131" i="5"/>
  <c r="D131" i="5"/>
  <c r="F130" i="5"/>
  <c r="E130" i="5"/>
  <c r="D130" i="5"/>
  <c r="F129" i="5"/>
  <c r="E129" i="5"/>
  <c r="D129" i="5"/>
  <c r="F128" i="5"/>
  <c r="E128" i="5"/>
  <c r="D128" i="5"/>
  <c r="F127" i="5"/>
  <c r="E127" i="5"/>
  <c r="D127" i="5"/>
  <c r="F126" i="5"/>
  <c r="E126" i="5"/>
  <c r="D126" i="5"/>
  <c r="F125" i="5"/>
  <c r="E125" i="5"/>
  <c r="D125" i="5"/>
  <c r="F124" i="5"/>
  <c r="E124" i="5"/>
  <c r="D124" i="5"/>
  <c r="F123" i="5"/>
  <c r="E123" i="5"/>
  <c r="D123" i="5"/>
  <c r="F122" i="5"/>
  <c r="E122" i="5"/>
  <c r="D122" i="5"/>
  <c r="F121" i="5"/>
  <c r="E121" i="5"/>
  <c r="D121" i="5"/>
  <c r="F120" i="5"/>
  <c r="E120" i="5"/>
  <c r="D120" i="5"/>
  <c r="F119" i="5"/>
  <c r="E119" i="5"/>
  <c r="D119" i="5"/>
  <c r="F118" i="5"/>
  <c r="E118" i="5"/>
  <c r="D118" i="5"/>
  <c r="F117" i="5"/>
  <c r="E117" i="5"/>
  <c r="D117" i="5"/>
  <c r="F116" i="5"/>
  <c r="E116" i="5"/>
  <c r="D116" i="5"/>
  <c r="F115" i="5"/>
  <c r="E115" i="5"/>
  <c r="D115" i="5"/>
  <c r="F114" i="5"/>
  <c r="E114" i="5"/>
  <c r="D114" i="5"/>
  <c r="F113" i="5"/>
  <c r="E113" i="5"/>
  <c r="D113" i="5"/>
  <c r="F112" i="5"/>
  <c r="E112" i="5"/>
  <c r="D112" i="5"/>
  <c r="F111" i="5"/>
  <c r="E111" i="5"/>
  <c r="D111" i="5"/>
  <c r="F110" i="5"/>
  <c r="E110" i="5"/>
  <c r="D110" i="5"/>
  <c r="F109" i="5"/>
  <c r="E109" i="5"/>
  <c r="D109" i="5"/>
  <c r="F108" i="5"/>
  <c r="E108" i="5"/>
  <c r="D108" i="5"/>
  <c r="F107" i="5"/>
  <c r="E107" i="5"/>
  <c r="D107" i="5"/>
  <c r="F106" i="5"/>
  <c r="E106" i="5"/>
  <c r="D106" i="5"/>
  <c r="F105" i="5"/>
  <c r="E105" i="5"/>
  <c r="D105" i="5"/>
  <c r="F104" i="5"/>
  <c r="E104" i="5"/>
  <c r="D104" i="5"/>
  <c r="F103" i="5"/>
  <c r="E103" i="5"/>
  <c r="D103" i="5"/>
  <c r="F102" i="5"/>
  <c r="E102" i="5"/>
  <c r="D102" i="5"/>
  <c r="F101" i="5"/>
  <c r="E101" i="5"/>
  <c r="D101" i="5"/>
  <c r="F100" i="5"/>
  <c r="E100" i="5"/>
  <c r="D100" i="5"/>
  <c r="F99" i="5"/>
  <c r="E99" i="5"/>
  <c r="D99" i="5"/>
  <c r="F98" i="5"/>
  <c r="E98" i="5"/>
  <c r="D98" i="5"/>
  <c r="F97" i="5"/>
  <c r="E97" i="5"/>
  <c r="D97" i="5"/>
  <c r="F96" i="5"/>
  <c r="E96" i="5"/>
  <c r="D96" i="5"/>
  <c r="F95" i="5"/>
  <c r="E95" i="5"/>
  <c r="D95" i="5"/>
  <c r="F94" i="5"/>
  <c r="E94" i="5"/>
  <c r="D94" i="5"/>
  <c r="F93" i="5"/>
  <c r="E93" i="5"/>
  <c r="D93" i="5"/>
  <c r="F92" i="5"/>
  <c r="E92" i="5"/>
  <c r="D92" i="5"/>
  <c r="F91" i="5"/>
  <c r="E91" i="5"/>
  <c r="D91" i="5"/>
  <c r="F90" i="5"/>
  <c r="E90" i="5"/>
  <c r="D90" i="5"/>
  <c r="F89" i="5"/>
  <c r="E89" i="5"/>
  <c r="D89" i="5"/>
  <c r="F88" i="5"/>
  <c r="E88" i="5"/>
  <c r="D88" i="5"/>
  <c r="F87" i="5"/>
  <c r="E87" i="5"/>
  <c r="D87" i="5"/>
  <c r="F86" i="5"/>
  <c r="E86" i="5"/>
  <c r="D86" i="5"/>
  <c r="F85" i="5"/>
  <c r="E85" i="5"/>
  <c r="D85" i="5"/>
  <c r="F84" i="5"/>
  <c r="E84" i="5"/>
  <c r="D84" i="5"/>
  <c r="F83" i="5"/>
  <c r="E83" i="5"/>
  <c r="D83" i="5"/>
  <c r="F82" i="5"/>
  <c r="E82" i="5"/>
  <c r="D82" i="5"/>
  <c r="F81" i="5"/>
  <c r="E81" i="5"/>
  <c r="D81" i="5"/>
  <c r="F80" i="5"/>
  <c r="E80" i="5"/>
  <c r="D80" i="5"/>
  <c r="F79" i="5"/>
  <c r="E79" i="5"/>
  <c r="D79" i="5"/>
  <c r="F78" i="5"/>
  <c r="E78" i="5"/>
  <c r="D78" i="5"/>
  <c r="F77" i="5"/>
  <c r="E77" i="5"/>
  <c r="D77" i="5"/>
  <c r="F76" i="5"/>
  <c r="E76" i="5"/>
  <c r="D76" i="5"/>
  <c r="F75" i="5"/>
  <c r="E75" i="5"/>
  <c r="D75" i="5"/>
  <c r="F74" i="5"/>
  <c r="E74" i="5"/>
  <c r="D74" i="5"/>
  <c r="F73" i="5"/>
  <c r="E73" i="5"/>
  <c r="D73" i="5"/>
  <c r="F72" i="5"/>
  <c r="E72" i="5"/>
  <c r="D72" i="5"/>
  <c r="F71" i="5"/>
  <c r="E71" i="5"/>
  <c r="D71" i="5"/>
  <c r="F70" i="5"/>
  <c r="E70" i="5"/>
  <c r="D70" i="5"/>
  <c r="F69" i="5"/>
  <c r="E69" i="5"/>
  <c r="D69" i="5"/>
  <c r="F68" i="5"/>
  <c r="E68" i="5"/>
  <c r="D68" i="5"/>
  <c r="F67" i="5"/>
  <c r="E67" i="5"/>
  <c r="D67" i="5"/>
  <c r="F66" i="5"/>
  <c r="E66" i="5"/>
  <c r="D66" i="5"/>
  <c r="F65" i="5"/>
  <c r="E65" i="5"/>
  <c r="D65" i="5"/>
  <c r="F64" i="5"/>
  <c r="E64" i="5"/>
  <c r="D64" i="5"/>
  <c r="F63" i="5"/>
  <c r="E63" i="5"/>
  <c r="D63" i="5"/>
  <c r="F62" i="5"/>
  <c r="E62" i="5"/>
  <c r="D62" i="5"/>
  <c r="F61" i="5"/>
  <c r="E61" i="5"/>
  <c r="D61" i="5"/>
  <c r="F60" i="5"/>
  <c r="E60" i="5"/>
  <c r="D60" i="5"/>
  <c r="F59" i="5"/>
  <c r="E59" i="5"/>
  <c r="D59" i="5"/>
  <c r="F58" i="5"/>
  <c r="E58" i="5"/>
  <c r="D58" i="5"/>
  <c r="F57" i="5"/>
  <c r="E57" i="5"/>
  <c r="D57" i="5"/>
  <c r="F56" i="5"/>
  <c r="E56" i="5"/>
  <c r="D56" i="5"/>
  <c r="F55" i="5"/>
  <c r="E55" i="5"/>
  <c r="D55" i="5"/>
  <c r="F54" i="5"/>
  <c r="E54" i="5"/>
  <c r="D54" i="5"/>
  <c r="F53" i="5"/>
  <c r="E53" i="5"/>
  <c r="D53" i="5"/>
  <c r="F52" i="5"/>
  <c r="E52" i="5"/>
  <c r="D52" i="5"/>
  <c r="F51" i="5"/>
  <c r="E51" i="5"/>
  <c r="D51" i="5"/>
  <c r="F50" i="5"/>
  <c r="E50" i="5"/>
  <c r="D50" i="5"/>
  <c r="F49" i="5"/>
  <c r="E49" i="5"/>
  <c r="D49" i="5"/>
  <c r="F48" i="5"/>
  <c r="E48" i="5"/>
  <c r="D48" i="5"/>
  <c r="F47" i="5"/>
  <c r="E47" i="5"/>
  <c r="D47" i="5"/>
  <c r="F46" i="5"/>
  <c r="E46" i="5"/>
  <c r="D46" i="5"/>
  <c r="F45" i="5"/>
  <c r="E45" i="5"/>
  <c r="D45" i="5"/>
  <c r="F44" i="5"/>
  <c r="E44" i="5"/>
  <c r="D44" i="5"/>
  <c r="F43" i="5"/>
  <c r="E43" i="5"/>
  <c r="D43" i="5"/>
  <c r="F42" i="5"/>
  <c r="E42" i="5"/>
  <c r="D42" i="5"/>
  <c r="F41" i="5"/>
  <c r="E41" i="5"/>
  <c r="D41" i="5"/>
  <c r="F40" i="5"/>
  <c r="E40" i="5"/>
  <c r="D40" i="5"/>
  <c r="F39" i="5"/>
  <c r="E39" i="5"/>
  <c r="D39" i="5"/>
  <c r="F38" i="5"/>
  <c r="E38" i="5"/>
  <c r="D38" i="5"/>
  <c r="F37" i="5"/>
  <c r="E37" i="5"/>
  <c r="D37" i="5"/>
  <c r="F36" i="5"/>
  <c r="E36" i="5"/>
  <c r="D36" i="5"/>
  <c r="F35" i="5"/>
  <c r="E35" i="5"/>
  <c r="D35" i="5"/>
  <c r="F34" i="5"/>
  <c r="E34" i="5"/>
  <c r="D34" i="5"/>
  <c r="F33" i="5"/>
  <c r="E33" i="5"/>
  <c r="D33" i="5"/>
  <c r="F32" i="5"/>
  <c r="E32" i="5"/>
  <c r="D32" i="5"/>
  <c r="F31" i="5"/>
  <c r="E31" i="5"/>
  <c r="D31" i="5"/>
  <c r="F30" i="5"/>
  <c r="E30" i="5"/>
  <c r="D30" i="5"/>
  <c r="F29" i="5"/>
  <c r="E29" i="5"/>
  <c r="D29" i="5"/>
  <c r="F28" i="5"/>
  <c r="E28" i="5"/>
  <c r="D28" i="5"/>
  <c r="F27" i="5"/>
  <c r="E27" i="5"/>
  <c r="D27" i="5"/>
  <c r="F26" i="5"/>
  <c r="E26" i="5"/>
  <c r="D26" i="5"/>
  <c r="F25" i="5"/>
  <c r="E25" i="5"/>
  <c r="D25" i="5"/>
  <c r="F24" i="5"/>
  <c r="E24" i="5"/>
  <c r="D24" i="5"/>
  <c r="F23" i="5"/>
  <c r="E23" i="5"/>
  <c r="D23" i="5"/>
  <c r="F22" i="5"/>
  <c r="E22" i="5"/>
  <c r="D22" i="5"/>
  <c r="F21" i="5"/>
  <c r="E21" i="5"/>
  <c r="D21" i="5"/>
  <c r="F20" i="5"/>
  <c r="E20" i="5"/>
  <c r="D20" i="5"/>
  <c r="F19" i="5"/>
  <c r="E19" i="5"/>
  <c r="D19" i="5"/>
  <c r="F18" i="5"/>
  <c r="E18" i="5"/>
  <c r="D18" i="5"/>
  <c r="F17" i="5"/>
  <c r="E17" i="5"/>
  <c r="D17" i="5"/>
  <c r="F16" i="5"/>
  <c r="E16" i="5"/>
  <c r="D16" i="5"/>
  <c r="F15" i="5"/>
  <c r="E15" i="5"/>
  <c r="D15" i="5"/>
  <c r="F14" i="5"/>
  <c r="E14" i="5"/>
  <c r="D14" i="5"/>
  <c r="F13" i="5"/>
  <c r="E13" i="5"/>
  <c r="D13" i="5"/>
  <c r="F12" i="5"/>
  <c r="E12" i="5"/>
  <c r="D12" i="5"/>
  <c r="F11" i="5"/>
  <c r="E11" i="5"/>
  <c r="D11" i="5"/>
  <c r="F10" i="5"/>
  <c r="E10" i="5"/>
  <c r="D10" i="5"/>
  <c r="F9" i="5"/>
  <c r="E9" i="5"/>
  <c r="D9" i="5"/>
  <c r="F8" i="5"/>
  <c r="E8" i="5"/>
  <c r="D8" i="5"/>
  <c r="F7" i="5"/>
  <c r="E7" i="5"/>
  <c r="D7" i="5"/>
  <c r="F6" i="5"/>
  <c r="E6" i="5"/>
  <c r="D6" i="5"/>
  <c r="F5" i="5"/>
  <c r="E5" i="5"/>
  <c r="D5" i="5"/>
  <c r="F4" i="5"/>
  <c r="E4" i="5"/>
  <c r="D4" i="5"/>
  <c r="H2" i="5" s="1"/>
  <c r="F3" i="5"/>
  <c r="E3" i="5"/>
  <c r="D3" i="5"/>
  <c r="F2" i="5"/>
  <c r="E2" i="5"/>
  <c r="D2" i="5"/>
  <c r="F31" i="4"/>
  <c r="E31" i="4"/>
  <c r="D31" i="4"/>
  <c r="C31" i="4"/>
  <c r="B31" i="4"/>
  <c r="G30" i="4"/>
  <c r="F30" i="4"/>
  <c r="E30" i="4"/>
  <c r="D30" i="4"/>
  <c r="C30" i="4"/>
  <c r="B30" i="4"/>
  <c r="G29" i="4"/>
  <c r="F29" i="4"/>
  <c r="E29" i="4"/>
  <c r="D29" i="4"/>
  <c r="C29" i="4"/>
  <c r="B29" i="4"/>
  <c r="G19" i="4"/>
  <c r="F19" i="4"/>
  <c r="E19" i="4"/>
  <c r="D19" i="4"/>
  <c r="C19" i="4"/>
  <c r="B19" i="4"/>
  <c r="F5" i="4"/>
  <c r="E5" i="4"/>
  <c r="D5" i="4"/>
  <c r="D7" i="4" s="1"/>
  <c r="D14" i="4" s="1"/>
  <c r="C5" i="4"/>
  <c r="C7" i="4" s="1"/>
  <c r="C14" i="4" s="1"/>
  <c r="B5" i="4"/>
  <c r="G3" i="4"/>
  <c r="G31" i="4" s="1"/>
  <c r="F3" i="4"/>
  <c r="F32" i="4" s="1"/>
  <c r="E3" i="4"/>
  <c r="E32" i="4" s="1"/>
  <c r="D3" i="4"/>
  <c r="D32" i="4" s="1"/>
  <c r="C3" i="4"/>
  <c r="C32" i="4" s="1"/>
  <c r="B3" i="4"/>
  <c r="B32" i="4" s="1"/>
  <c r="G15" i="6"/>
  <c r="F15" i="6"/>
  <c r="F17" i="6" s="1"/>
  <c r="E15" i="6"/>
  <c r="E17" i="6" s="1"/>
  <c r="D15" i="6"/>
  <c r="D17" i="6" s="1"/>
  <c r="C15" i="6"/>
  <c r="B15" i="6"/>
  <c r="G14" i="6"/>
  <c r="F14" i="6"/>
  <c r="E14" i="6"/>
  <c r="D14" i="6"/>
  <c r="C14" i="6"/>
  <c r="B14" i="6"/>
  <c r="G6" i="6"/>
  <c r="G8" i="6" s="1"/>
  <c r="F6" i="6"/>
  <c r="F8" i="6" s="1"/>
  <c r="E6" i="6"/>
  <c r="E8" i="6" s="1"/>
  <c r="D6" i="6"/>
  <c r="D8" i="6" s="1"/>
  <c r="C6" i="6"/>
  <c r="C8" i="6" s="1"/>
  <c r="B6" i="6"/>
  <c r="B8" i="6" s="1"/>
  <c r="C7" i="10" l="1"/>
  <c r="C9" i="10" s="1"/>
  <c r="I4" i="10"/>
  <c r="I8" i="10" s="1"/>
  <c r="C4" i="10"/>
  <c r="C8" i="10" s="1"/>
  <c r="C11" i="10"/>
  <c r="I7" i="10"/>
  <c r="I9" i="10" s="1"/>
  <c r="G7" i="10"/>
  <c r="G9" i="10" s="1"/>
  <c r="K4" i="10"/>
  <c r="K8" i="10" s="1"/>
  <c r="E7" i="10"/>
  <c r="E9" i="10" s="1"/>
  <c r="K7" i="10"/>
  <c r="K9" i="10" s="1"/>
  <c r="E4" i="10"/>
  <c r="E8" i="10" s="1"/>
  <c r="E11" i="10" s="1"/>
  <c r="I11" i="10"/>
  <c r="G11" i="10"/>
  <c r="B17" i="6"/>
  <c r="C17" i="6"/>
  <c r="G17" i="6"/>
  <c r="E7" i="4"/>
  <c r="E14" i="4" s="1"/>
  <c r="F7" i="4"/>
  <c r="F14" i="4" s="1"/>
  <c r="B7" i="4"/>
  <c r="B14" i="4" s="1"/>
  <c r="L5" i="5"/>
  <c r="M5" i="5" s="1"/>
  <c r="L7" i="5"/>
  <c r="M7" i="5" s="1"/>
  <c r="L3" i="5"/>
  <c r="M3" i="5" s="1"/>
  <c r="L2" i="5"/>
  <c r="L4" i="5"/>
  <c r="M4" i="5" s="1"/>
  <c r="L6" i="5"/>
  <c r="M6" i="5" s="1"/>
  <c r="G32" i="4"/>
  <c r="G5" i="4"/>
  <c r="G7" i="4" s="1"/>
  <c r="G14" i="4" s="1"/>
  <c r="K11" i="10" l="1"/>
  <c r="M2" i="5"/>
</calcChain>
</file>

<file path=xl/sharedStrings.xml><?xml version="1.0" encoding="utf-8"?>
<sst xmlns="http://schemas.openxmlformats.org/spreadsheetml/2006/main" count="282" uniqueCount="202">
  <si>
    <t>Particulars</t>
  </si>
  <si>
    <t>Notes</t>
  </si>
  <si>
    <t>(₹ in Millions)</t>
  </si>
  <si>
    <t>ASSETS</t>
  </si>
  <si>
    <t>Non-current assets</t>
  </si>
  <si>
    <t>Property, plant and equipment</t>
  </si>
  <si>
    <t>Capital work-in-progress</t>
  </si>
  <si>
    <t>Right-of-use assets</t>
  </si>
  <si>
    <t>Goodwill</t>
  </si>
  <si>
    <t>Other intangible assets</t>
  </si>
  <si>
    <t>Intangible assets under development</t>
  </si>
  <si>
    <t>7a</t>
  </si>
  <si>
    <t>-</t>
  </si>
  <si>
    <t>Financial assets</t>
  </si>
  <si>
    <t>(i) Investments</t>
  </si>
  <si>
    <t>(ii) Trade receivables</t>
  </si>
  <si>
    <t>(iii) Loans</t>
  </si>
  <si>
    <t>(iv) Other financial assets</t>
  </si>
  <si>
    <t>Deferred tax assets (net)</t>
  </si>
  <si>
    <t>23/24</t>
  </si>
  <si>
    <t>Income/Other tax assets (net)</t>
  </si>
  <si>
    <t>Other assets</t>
  </si>
  <si>
    <t>Total non-current assets</t>
  </si>
  <si>
    <t>Current assets</t>
  </si>
  <si>
    <t>(iv) Cash and cash equivalents</t>
  </si>
  <si>
    <t>(v) Bank balances</t>
  </si>
  <si>
    <t>(vi) Loans</t>
  </si>
  <si>
    <t>(vii) Other financial assets</t>
  </si>
  <si>
    <t>Total current assets</t>
  </si>
  <si>
    <t>TOTAL ASSETS</t>
  </si>
  <si>
    <t>---</t>
  </si>
  <si>
    <t>EQUITY AND LIABILITIES</t>
  </si>
  <si>
    <t>EQUITY</t>
  </si>
  <si>
    <t>Share capital</t>
  </si>
  <si>
    <t>Other equity</t>
  </si>
  <si>
    <t>Total equity</t>
  </si>
  <si>
    <t>Non-current liabilities</t>
  </si>
  <si>
    <t>Lease liabilities</t>
  </si>
  <si>
    <t>Other financial liabilities</t>
  </si>
  <si>
    <t>Provisions / Employee benefits</t>
  </si>
  <si>
    <t>Deferred tax liabilities (net)</t>
  </si>
  <si>
    <t>Income/Other tax liabilities (net)</t>
  </si>
  <si>
    <t>Other liabilities</t>
  </si>
  <si>
    <t>Total non-current liabilities</t>
  </si>
  <si>
    <t>Current liabilities</t>
  </si>
  <si>
    <t>Borrowings</t>
  </si>
  <si>
    <t>Trade payables (Total)</t>
  </si>
  <si>
    <t>19/22</t>
  </si>
  <si>
    <t>Current tax liabilities (net)</t>
  </si>
  <si>
    <t>Total current liabilities</t>
  </si>
  <si>
    <t>TOTAL EQUITY &amp; LIABILITIES</t>
  </si>
  <si>
    <t>INCOME</t>
  </si>
  <si>
    <t>Revenue from operations</t>
  </si>
  <si>
    <t>Other income</t>
  </si>
  <si>
    <t>Total income (I)</t>
  </si>
  <si>
    <t>EXPENSES</t>
  </si>
  <si>
    <t>Employee benefits expense</t>
  </si>
  <si>
    <t>Finance costs</t>
  </si>
  <si>
    <t>Depreciation and amortization</t>
  </si>
  <si>
    <t>Other expenses</t>
  </si>
  <si>
    <t>Total expenses (II)</t>
  </si>
  <si>
    <t>Profit before tax (III) [(I)-(II)]</t>
  </si>
  <si>
    <t>Tax expense</t>
  </si>
  <si>
    <t>Current tax</t>
  </si>
  <si>
    <t>Deferred tax</t>
  </si>
  <si>
    <t>Total tax expense</t>
  </si>
  <si>
    <t>Profit for the year (A)</t>
  </si>
  <si>
    <t>Other Comprehensive Income (B)</t>
  </si>
  <si>
    <t>Total Comprehensive Income (A+B)</t>
  </si>
  <si>
    <t>Earnings per equity share (₹)</t>
  </si>
  <si>
    <t>Basic</t>
  </si>
  <si>
    <t>Diluted</t>
  </si>
  <si>
    <t>Operating activities:</t>
  </si>
  <si>
    <t>Profit before tax</t>
  </si>
  <si>
    <t>Adjustments to reconcile profit before tax to net cash provided by operating activities:</t>
  </si>
  <si>
    <t>Depreciation and amortization expense</t>
  </si>
  <si>
    <t>Profit on sale of property, plant and equipment and intangible assets</t>
  </si>
  <si>
    <t>Net gain on investments carried at fair value through profit and loss</t>
  </si>
  <si>
    <t>Share based payment expenses</t>
  </si>
  <si>
    <t>Provision for expected credit loss</t>
  </si>
  <si>
    <t>Interest income</t>
  </si>
  <si>
    <t>Gain on lease modifications</t>
  </si>
  <si>
    <t>Provision for other assets</t>
  </si>
  <si>
    <t>Gain on reversal of contingent consideration</t>
  </si>
  <si>
    <t>Others</t>
  </si>
  <si>
    <t>Unrealized exchange loss / (gain), net</t>
  </si>
  <si>
    <t>Operating profit before changes in operating assets and liabilities</t>
  </si>
  <si>
    <t>Changes in operating assets and liabilities</t>
  </si>
  <si>
    <t>Trade receivables / Unbilled receivables</t>
  </si>
  <si>
    <t>Loans</t>
  </si>
  <si>
    <t>Other financial assets</t>
  </si>
  <si>
    <t>Trade payables</t>
  </si>
  <si>
    <t>Provisions and employee benefit obligations</t>
  </si>
  <si>
    <t>Total changes in operating assets and liabilities</t>
  </si>
  <si>
    <t>Income tax paid (net of refunds)</t>
  </si>
  <si>
    <t>Net cash flows generated from operating activities (A)</t>
  </si>
  <si>
    <t>Investing activities:</t>
  </si>
  <si>
    <t>Purchase of property, plant and equipment and intangible assets</t>
  </si>
  <si>
    <t>Proceeds from sale of property, plant and equipment and intangible assets</t>
  </si>
  <si>
    <t>Purchase of investments</t>
  </si>
  <si>
    <t>Sale of investments</t>
  </si>
  <si>
    <t>Interest received</t>
  </si>
  <si>
    <t>Payment for business acquisition, net of cash acquired</t>
  </si>
  <si>
    <t>Investments in bank deposits</t>
  </si>
  <si>
    <t>Redemption / maturity of bank deposits</t>
  </si>
  <si>
    <t>Net cash flows generated from / (used in) investing activities (B)</t>
  </si>
  <si>
    <t>Financing activities:</t>
  </si>
  <si>
    <t>Proceeds from issue of shares</t>
  </si>
  <si>
    <t>Repayment of borrowings</t>
  </si>
  <si>
    <t>Availment of borrowings</t>
  </si>
  <si>
    <t>Interest paid</t>
  </si>
  <si>
    <t>Repayment of lease liabilities</t>
  </si>
  <si>
    <t>Interest on repayment of lease liabilities</t>
  </si>
  <si>
    <t>Dividends paid</t>
  </si>
  <si>
    <t>Net cash flows (used in) / generated from financing activities (C)</t>
  </si>
  <si>
    <t>Net increase / (decrease) in cash and cash equivalents (A+B+C)</t>
  </si>
  <si>
    <t>Effect of exchange rate changes</t>
  </si>
  <si>
    <t>Cash and cash equivalents at the beginning of the year</t>
  </si>
  <si>
    <t>Cash and cash equivalents at the end of the year</t>
  </si>
  <si>
    <t>FY 25</t>
  </si>
  <si>
    <t>FY 24</t>
  </si>
  <si>
    <t>FY 23</t>
  </si>
  <si>
    <t>FY 22</t>
  </si>
  <si>
    <t>FY 21</t>
  </si>
  <si>
    <t>FY 20</t>
  </si>
  <si>
    <t>PBT</t>
  </si>
  <si>
    <t>Interest Paid</t>
  </si>
  <si>
    <t>Other Income</t>
  </si>
  <si>
    <t>EBIT</t>
  </si>
  <si>
    <t>Effective Tax Rate (t)</t>
  </si>
  <si>
    <t>NOPAT=EBIT(1-t)</t>
  </si>
  <si>
    <t>Depretiation and Amortization</t>
  </si>
  <si>
    <t>Change in Working Capital</t>
  </si>
  <si>
    <t>Capex</t>
  </si>
  <si>
    <t>FCFF</t>
  </si>
  <si>
    <t>Net Income</t>
  </si>
  <si>
    <t>Net Borrowings</t>
  </si>
  <si>
    <t>FCFE</t>
  </si>
  <si>
    <t>Share Price (Mar-end)</t>
  </si>
  <si>
    <t>Shares Outstanding (M)</t>
  </si>
  <si>
    <t>Market Cap</t>
  </si>
  <si>
    <t>Long-Term Borrowings</t>
  </si>
  <si>
    <t>Short-Term Borrowings</t>
  </si>
  <si>
    <t>Total Debt</t>
  </si>
  <si>
    <t>Equity Weight</t>
  </si>
  <si>
    <t>Debt Weight</t>
  </si>
  <si>
    <t>kd(pre tax)</t>
  </si>
  <si>
    <t>kd(post tax)</t>
  </si>
  <si>
    <t>Date</t>
  </si>
  <si>
    <t>Mphasis Close Price</t>
  </si>
  <si>
    <t>NIFTY 50 Closing Price</t>
  </si>
  <si>
    <t>MPHASIS Log Return</t>
  </si>
  <si>
    <t>NIFTY Log Return</t>
  </si>
  <si>
    <t>Fiscal Year</t>
  </si>
  <si>
    <t>Beta</t>
  </si>
  <si>
    <t>Rf (Bond Yield)</t>
  </si>
  <si>
    <t>ERP</t>
  </si>
  <si>
    <t>Ke = Rf + β×ERP</t>
  </si>
  <si>
    <t xml:space="preserve">WACC </t>
  </si>
  <si>
    <t>FY2020</t>
  </si>
  <si>
    <t>FY2021</t>
  </si>
  <si>
    <t>FY2022</t>
  </si>
  <si>
    <t>FY2023</t>
  </si>
  <si>
    <t>FY2024</t>
  </si>
  <si>
    <t>FY2025</t>
  </si>
  <si>
    <t>FY25</t>
  </si>
  <si>
    <t>FY24</t>
  </si>
  <si>
    <t>FY23</t>
  </si>
  <si>
    <t>FY22</t>
  </si>
  <si>
    <t>FY21</t>
  </si>
  <si>
    <t>FY20</t>
  </si>
  <si>
    <t>NOPAT</t>
  </si>
  <si>
    <t>WACC</t>
  </si>
  <si>
    <t>Capital Invested (Book Value)</t>
  </si>
  <si>
    <t>EVA</t>
  </si>
  <si>
    <t>Equity Share Capital</t>
  </si>
  <si>
    <t>Face Value (FV)</t>
  </si>
  <si>
    <t>CMP (31-Mar Price)</t>
  </si>
  <si>
    <t>Market Value of Equity</t>
  </si>
  <si>
    <t>BV of Owners' Equity</t>
  </si>
  <si>
    <t>MVA</t>
  </si>
  <si>
    <t>FCFF (Free Cash Flow to Firm)</t>
  </si>
  <si>
    <t>FCFF represents cash available to all capital providers  both debt and equity holders  after operating expenses and reinvestment. Mphasis shows strong and consistent FCFF generation across all six years (FY20–FY25). The FY24 spike to ₹21,733M was driven by a favorable swing in working capital (+₹4,028M). FY25 normalized to ₹17,630M, which still comfortably exceeds earlier years. This consistency confirms Mphasis's asset-light business model and operational efficiency, making it a highly cash-generative firm relative to its investment needs.</t>
  </si>
  <si>
    <t>FCFE (Free Cash Flow to Equity)</t>
  </si>
  <si>
    <t>EVA (Economic Value Added)</t>
  </si>
  <si>
    <t>EVA = NOPAT − (WACC × Capital Invested). A positive EVA means the company earns returns above its cost of capital. Mphasis has positive EVA in all years, confirming genuine value creation. However, EVA compressed dramatically in FY24 (just ₹230M) because WACC rose to 14.3% (its highest in the period) while capital employed surged due to acquisitions. In FY25, EVA recovered to ₹836M as WACC eased to 12.6%, though it remains well below the FY23 peak of ₹2,793M. The declining trend from FY23 onward signals that the rate of value creation is slowing as the capital base grows faster than NOPAT.</t>
  </si>
  <si>
    <t>FCFE represents cash left for equity shareholders after debt obligations are met. The FY24 number (₹35,709M) is an outlier  inflated by a large net debt increase of ₹12,965M (new borrowings for acquisitions). Stripping that out, the underlying FCFE in FY24 would have been roughly ₹22,744M. FY25 FCFE of ₹14,371M is more representative of sustainable equity cash generation, broadly in line with net income of ₹17,021M after reinvestment needs.</t>
  </si>
  <si>
    <t>MVA (Market Value Added)</t>
  </si>
  <si>
    <t>MVA = Market Value of Equity Book Value of Equity. It captures how much value the market believes the company has created beyond the capital shareholders invested. MVA grew nearly 5.6× from ₹67,740M in FY20 to ₹378,954M in FY25, driven by a surge in the share price from ₹675 to ₹2,500. The FY22 peak of ₹564,842M coincided with the tech-sector euphoria. The decline from FY22 despite improving book value reflects the broader IT sector de-rating as interest rates rose globally. The current FY25 MVA of ~₹3.79 lakh crore still signals strong market confidence in the company's future earnings potential.</t>
  </si>
  <si>
    <t>Net Sales</t>
  </si>
  <si>
    <t>Avg Receivables</t>
  </si>
  <si>
    <t>Unbilled receivables</t>
  </si>
  <si>
    <t>Billed receivables</t>
  </si>
  <si>
    <t>Receivable Turnover</t>
  </si>
  <si>
    <t>Company operates in service industry; hence inventory is negligible.</t>
  </si>
  <si>
    <t>Net Purchases</t>
  </si>
  <si>
    <t>Avg Payables</t>
  </si>
  <si>
    <t>Payable Turnover</t>
  </si>
  <si>
    <t>DSO (Days sales o/s)</t>
  </si>
  <si>
    <t>DPO (Days payable o/s)</t>
  </si>
  <si>
    <t>CCC (Cash Conversion Cycle)</t>
  </si>
  <si>
    <t>Industry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</si>
</sst>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m\-yy"/>
    <numFmt numFmtId="165" formatCode="m/d/yyyy"/>
    <numFmt numFmtId="166" formatCode="0.000"/>
    <numFmt numFmtId="167" formatCode="0.0000"/>
  </numFmts>
  <fonts count="15" x14ac:knownFonts="1">
    <font>
      <sz val="11"/>
      <color theme="1"/>
      <name val="Aptos Narrow"/>
      <family val="2"/>
      <charset val="1"/>
    </font>
    <font>
      <b/>
      <sz val="10"/>
      <color theme="3" tint="0.24988555558946501"/>
      <name val="Arial"/>
      <family val="2"/>
      <charset val="1"/>
    </font>
    <font>
      <i/>
      <sz val="11"/>
      <color rgb="FF808080"/>
      <name val="Cambria"/>
      <family val="1"/>
    </font>
    <font>
      <sz val="10"/>
      <color theme="1"/>
      <name val="Arial"/>
      <family val="2"/>
      <charset val="1"/>
    </font>
    <font>
      <b/>
      <sz val="10"/>
      <color theme="1"/>
      <name val="Arial"/>
      <family val="2"/>
      <charset val="1"/>
    </font>
    <font>
      <sz val="10"/>
      <color theme="3" tint="0.24988555558946501"/>
      <name val="Arial"/>
      <family val="2"/>
      <charset val="1"/>
    </font>
    <font>
      <b/>
      <sz val="11"/>
      <color theme="1"/>
      <name val="Aptos Narrow"/>
      <family val="2"/>
      <charset val="1"/>
    </font>
    <font>
      <b/>
      <sz val="13"/>
      <color theme="3"/>
      <name val="Aptos Narrow"/>
      <family val="2"/>
      <charset val="1"/>
    </font>
    <font>
      <sz val="11"/>
      <color rgb="FF1F1F1F"/>
      <name val="Aptos Display"/>
      <family val="2"/>
      <charset val="1"/>
    </font>
    <font>
      <sz val="11"/>
      <color theme="1"/>
      <name val="Aptos Display"/>
      <family val="2"/>
      <charset val="1"/>
    </font>
    <font>
      <sz val="11"/>
      <color theme="1"/>
      <name val="Aptos Narrow"/>
      <family val="2"/>
      <charset val="1"/>
    </font>
    <font>
      <b/>
      <sz val="12"/>
      <color theme="3" tint="0.24988555558946501"/>
      <name val="Arial"/>
      <family val="2"/>
      <charset val="1"/>
    </font>
    <font>
      <b/>
      <sz val="12"/>
      <color theme="3" tint="0.24988555558946501"/>
      <name val="Aptos Narrow"/>
      <family val="2"/>
      <charset val="1"/>
    </font>
    <font>
      <b/>
      <sz val="13"/>
      <color theme="3"/>
      <name val="Aptos Narrow"/>
      <family val="2"/>
      <scheme val="minor"/>
    </font>
    <font>
      <b/>
      <sz val="11"/>
      <color rgb="FFFA7D00"/>
      <name val="Aptos Narrow"/>
      <family val="2"/>
      <scheme val="minor"/>
    </font>
  </fonts>
  <fills count="7">
    <fill>
      <patternFill patternType="none"/>
    </fill>
    <fill>
      <patternFill patternType="gray125"/>
    </fill>
    <fill>
      <patternFill patternType="solid">
        <fgColor rgb="FFFFFFCC"/>
        <bgColor rgb="FFFFFFFF"/>
      </patternFill>
    </fill>
    <fill>
      <patternFill patternType="solid">
        <fgColor rgb="FFC6EFCE"/>
        <bgColor rgb="FFCCFFFF"/>
      </patternFill>
    </fill>
    <fill>
      <patternFill patternType="solid">
        <fgColor theme="0"/>
        <bgColor rgb="FFFFFFCC"/>
      </patternFill>
    </fill>
    <fill>
      <patternFill patternType="solid">
        <fgColor rgb="FFC6EFCE"/>
      </patternFill>
    </fill>
    <fill>
      <patternFill patternType="solid">
        <fgColor rgb="FFF2F2F2"/>
      </patternFill>
    </fill>
  </fills>
  <borders count="78">
    <border>
      <left/>
      <right/>
      <top/>
      <bottom/>
      <diagonal/>
    </border>
    <border>
      <left style="thin">
        <color rgb="FFB2B2B2"/>
      </left>
      <right style="thin">
        <color rgb="FFB2B2B2"/>
      </right>
      <top style="thin">
        <color rgb="FFB2B2B2"/>
      </top>
      <bottom style="thin">
        <color rgb="FFB2B2B2"/>
      </bottom>
      <diagonal/>
    </border>
    <border>
      <left/>
      <right/>
      <top/>
      <bottom style="thick">
        <color theme="4" tint="0.49989318521683401"/>
      </bottom>
      <diagonal/>
    </border>
    <border>
      <left style="medium">
        <color theme="2" tint="-0.749992370372631"/>
      </left>
      <right style="hair">
        <color theme="2" tint="-0.749992370372631"/>
      </right>
      <top style="medium">
        <color theme="2" tint="-0.749992370372631"/>
      </top>
      <bottom style="medium">
        <color theme="2" tint="-0.749992370372631"/>
      </bottom>
      <diagonal/>
    </border>
    <border>
      <left style="hair">
        <color theme="2" tint="-0.749992370372631"/>
      </left>
      <right style="hair">
        <color theme="2" tint="-0.749992370372631"/>
      </right>
      <top style="medium">
        <color theme="2" tint="-0.749992370372631"/>
      </top>
      <bottom style="medium">
        <color theme="2" tint="-0.749992370372631"/>
      </bottom>
      <diagonal/>
    </border>
    <border>
      <left style="hair">
        <color theme="2" tint="-0.749992370372631"/>
      </left>
      <right style="medium">
        <color theme="2" tint="-0.749992370372631"/>
      </right>
      <top style="medium">
        <color theme="2" tint="-0.749992370372631"/>
      </top>
      <bottom style="medium">
        <color theme="2" tint="-0.749992370372631"/>
      </bottom>
      <diagonal/>
    </border>
    <border>
      <left style="medium">
        <color theme="2" tint="-0.749992370372631"/>
      </left>
      <right style="hair">
        <color theme="2" tint="-0.749992370372631"/>
      </right>
      <top/>
      <bottom style="hair">
        <color theme="2" tint="-0.749992370372631"/>
      </bottom>
      <diagonal/>
    </border>
    <border>
      <left style="hair">
        <color theme="2" tint="-0.749992370372631"/>
      </left>
      <right style="hair">
        <color theme="2" tint="-0.749992370372631"/>
      </right>
      <top/>
      <bottom style="hair">
        <color theme="2" tint="-0.749992370372631"/>
      </bottom>
      <diagonal/>
    </border>
    <border>
      <left style="hair">
        <color theme="2" tint="-0.749992370372631"/>
      </left>
      <right style="medium">
        <color theme="2" tint="-0.749992370372631"/>
      </right>
      <top/>
      <bottom style="hair">
        <color theme="2" tint="-0.749992370372631"/>
      </bottom>
      <diagonal/>
    </border>
    <border>
      <left style="medium">
        <color theme="2" tint="-0.749992370372631"/>
      </left>
      <right style="hair">
        <color theme="2" tint="-0.749992370372631"/>
      </right>
      <top style="hair">
        <color theme="2" tint="-0.749992370372631"/>
      </top>
      <bottom style="hair">
        <color theme="2" tint="-0.749992370372631"/>
      </bottom>
      <diagonal/>
    </border>
    <border>
      <left style="hair">
        <color theme="2" tint="-0.749992370372631"/>
      </left>
      <right style="hair">
        <color theme="2" tint="-0.749992370372631"/>
      </right>
      <top style="hair">
        <color theme="2" tint="-0.749992370372631"/>
      </top>
      <bottom style="hair">
        <color theme="2" tint="-0.749992370372631"/>
      </bottom>
      <diagonal/>
    </border>
    <border>
      <left style="hair">
        <color theme="2" tint="-0.749992370372631"/>
      </left>
      <right style="medium">
        <color theme="2" tint="-0.749992370372631"/>
      </right>
      <top style="hair">
        <color theme="2" tint="-0.749992370372631"/>
      </top>
      <bottom style="hair">
        <color theme="2" tint="-0.749992370372631"/>
      </bottom>
      <diagonal/>
    </border>
    <border>
      <left style="hair">
        <color theme="2" tint="-0.749992370372631"/>
      </left>
      <right style="hair">
        <color theme="2" tint="-0.749992370372631"/>
      </right>
      <top style="hair">
        <color theme="2" tint="-0.749992370372631"/>
      </top>
      <bottom/>
      <diagonal/>
    </border>
    <border>
      <left style="hair">
        <color theme="2" tint="-0.749992370372631"/>
      </left>
      <right style="medium">
        <color theme="2" tint="-0.749992370372631"/>
      </right>
      <top style="hair">
        <color theme="2" tint="-0.749992370372631"/>
      </top>
      <bottom/>
      <diagonal/>
    </border>
    <border>
      <left style="hair">
        <color theme="2" tint="-0.749992370372631"/>
      </left>
      <right style="hair">
        <color theme="2" tint="-0.749992370372631"/>
      </right>
      <top style="thin">
        <color theme="2" tint="-0.749992370372631"/>
      </top>
      <bottom style="double">
        <color theme="2" tint="-0.749992370372631"/>
      </bottom>
      <diagonal/>
    </border>
    <border>
      <left style="hair">
        <color theme="2" tint="-0.749992370372631"/>
      </left>
      <right style="medium">
        <color theme="2" tint="-0.749992370372631"/>
      </right>
      <top style="thin">
        <color theme="2" tint="-0.749992370372631"/>
      </top>
      <bottom style="double">
        <color theme="2" tint="-0.749992370372631"/>
      </bottom>
      <diagonal/>
    </border>
    <border>
      <left style="hair">
        <color theme="2" tint="-0.749992370372631"/>
      </left>
      <right style="hair">
        <color theme="2" tint="-0.749992370372631"/>
      </right>
      <top/>
      <bottom style="double">
        <color theme="2" tint="-0.749992370372631"/>
      </bottom>
      <diagonal/>
    </border>
    <border>
      <left style="hair">
        <color theme="2" tint="-0.749992370372631"/>
      </left>
      <right style="medium">
        <color theme="2" tint="-0.749992370372631"/>
      </right>
      <top/>
      <bottom style="double">
        <color theme="2" tint="-0.749992370372631"/>
      </bottom>
      <diagonal/>
    </border>
    <border>
      <left style="medium">
        <color theme="2" tint="-0.749992370372631"/>
      </left>
      <right style="hair">
        <color theme="2" tint="-0.749992370372631"/>
      </right>
      <top style="hair">
        <color theme="2" tint="-0.749992370372631"/>
      </top>
      <bottom style="medium">
        <color theme="2" tint="-0.749992370372631"/>
      </bottom>
      <diagonal/>
    </border>
    <border>
      <left style="hair">
        <color theme="2" tint="-0.749992370372631"/>
      </left>
      <right style="hair">
        <color theme="2" tint="-0.749992370372631"/>
      </right>
      <top style="hair">
        <color theme="2" tint="-0.749992370372631"/>
      </top>
      <bottom style="medium">
        <color theme="2" tint="-0.749992370372631"/>
      </bottom>
      <diagonal/>
    </border>
    <border>
      <left style="hair">
        <color theme="2" tint="-0.749992370372631"/>
      </left>
      <right style="hair">
        <color theme="2" tint="-0.749992370372631"/>
      </right>
      <top style="thin">
        <color theme="2" tint="-0.749992370372631"/>
      </top>
      <bottom style="medium">
        <color theme="2" tint="-0.749992370372631"/>
      </bottom>
      <diagonal/>
    </border>
    <border>
      <left style="hair">
        <color theme="2" tint="-0.749992370372631"/>
      </left>
      <right style="medium">
        <color theme="2" tint="-0.749992370372631"/>
      </right>
      <top style="thin">
        <color theme="2" tint="-0.749992370372631"/>
      </top>
      <bottom style="medium">
        <color theme="2" tint="-0.749992370372631"/>
      </bottom>
      <diagonal/>
    </border>
    <border>
      <left style="hair">
        <color theme="2" tint="-0.749992370372631"/>
      </left>
      <right style="hair">
        <color theme="2" tint="-0.749992370372631"/>
      </right>
      <top/>
      <bottom/>
      <diagonal/>
    </border>
    <border>
      <left style="hair">
        <color theme="2" tint="-0.749992370372631"/>
      </left>
      <right style="medium">
        <color theme="2" tint="-0.749992370372631"/>
      </right>
      <top/>
      <bottom/>
      <diagonal/>
    </border>
    <border>
      <left style="hair">
        <color theme="2" tint="-0.749992370372631"/>
      </left>
      <right style="medium">
        <color theme="2" tint="-0.749992370372631"/>
      </right>
      <top style="hair">
        <color theme="2" tint="-0.749992370372631"/>
      </top>
      <bottom style="medium">
        <color theme="2" tint="-0.749992370372631"/>
      </bottom>
      <diagonal/>
    </border>
    <border>
      <left/>
      <right/>
      <top style="hair">
        <color theme="2" tint="-0.749992370372631"/>
      </top>
      <bottom/>
      <diagonal/>
    </border>
    <border>
      <left style="medium">
        <color theme="2" tint="-0.749992370372631"/>
      </left>
      <right/>
      <top/>
      <bottom style="thick">
        <color theme="4" tint="0.49989318521683401"/>
      </bottom>
      <diagonal/>
    </border>
    <border>
      <left/>
      <right style="medium">
        <color theme="2" tint="-0.749992370372631"/>
      </right>
      <top/>
      <bottom style="thick">
        <color theme="4" tint="0.49989318521683401"/>
      </bottom>
      <diagonal/>
    </border>
    <border>
      <left style="medium">
        <color theme="2" tint="-0.749992370372631"/>
      </left>
      <right/>
      <top/>
      <bottom/>
      <diagonal/>
    </border>
    <border>
      <left/>
      <right style="medium">
        <color theme="2" tint="-0.749992370372631"/>
      </right>
      <top/>
      <bottom/>
      <diagonal/>
    </border>
    <border>
      <left style="medium">
        <color theme="2" tint="-0.749992370372631"/>
      </left>
      <right style="thin">
        <color rgb="FFB2B2B2"/>
      </right>
      <top style="medium">
        <color theme="2" tint="-0.749992370372631"/>
      </top>
      <bottom style="medium">
        <color theme="2" tint="-0.749992370372631"/>
      </bottom>
      <diagonal/>
    </border>
    <border>
      <left style="thin">
        <color rgb="FFB2B2B2"/>
      </left>
      <right style="thin">
        <color rgb="FFB2B2B2"/>
      </right>
      <top style="medium">
        <color theme="2" tint="-0.749992370372631"/>
      </top>
      <bottom style="medium">
        <color theme="2" tint="-0.749992370372631"/>
      </bottom>
      <diagonal/>
    </border>
    <border>
      <left style="thin">
        <color rgb="FFB2B2B2"/>
      </left>
      <right style="medium">
        <color theme="2" tint="-0.749992370372631"/>
      </right>
      <top style="medium">
        <color theme="2" tint="-0.749992370372631"/>
      </top>
      <bottom style="medium">
        <color theme="2" tint="-0.749992370372631"/>
      </bottom>
      <diagonal/>
    </border>
    <border>
      <left/>
      <right/>
      <top style="thin">
        <color rgb="FFB2B2B2"/>
      </top>
      <bottom style="thin">
        <color rgb="FFB2B2B2"/>
      </bottom>
      <diagonal/>
    </border>
    <border>
      <left style="medium">
        <color theme="2" tint="-0.749992370372631"/>
      </left>
      <right/>
      <top style="hair">
        <color theme="2" tint="-0.749992370372631"/>
      </top>
      <bottom/>
      <diagonal/>
    </border>
    <border>
      <left/>
      <right style="medium">
        <color theme="2" tint="-0.749992370372631"/>
      </right>
      <top style="hair">
        <color theme="2" tint="-0.749992370372631"/>
      </top>
      <bottom/>
      <diagonal/>
    </border>
    <border>
      <left style="medium">
        <color theme="2" tint="-0.749992370372631"/>
      </left>
      <right/>
      <top style="hair">
        <color theme="2" tint="-0.749992370372631"/>
      </top>
      <bottom style="hair">
        <color theme="2" tint="-0.749992370372631"/>
      </bottom>
      <diagonal/>
    </border>
    <border>
      <left/>
      <right/>
      <top style="hair">
        <color theme="2" tint="-0.749992370372631"/>
      </top>
      <bottom style="hair">
        <color theme="2" tint="-0.749992370372631"/>
      </bottom>
      <diagonal/>
    </border>
    <border>
      <left/>
      <right style="medium">
        <color theme="2" tint="-0.749992370372631"/>
      </right>
      <top style="hair">
        <color theme="2" tint="-0.749992370372631"/>
      </top>
      <bottom style="hair">
        <color theme="2" tint="-0.749992370372631"/>
      </bottom>
      <diagonal/>
    </border>
    <border>
      <left/>
      <right style="hair">
        <color theme="2" tint="-0.749992370372631"/>
      </right>
      <top/>
      <bottom/>
      <diagonal/>
    </border>
    <border>
      <left style="medium">
        <color theme="2" tint="-0.749992370372631"/>
      </left>
      <right style="hair">
        <color theme="2" tint="-0.749992370372631"/>
      </right>
      <top/>
      <bottom style="medium">
        <color theme="2" tint="-0.749992370372631"/>
      </bottom>
      <diagonal/>
    </border>
    <border>
      <left/>
      <right/>
      <top/>
      <bottom style="hair">
        <color theme="2" tint="-0.749992370372631"/>
      </bottom>
      <diagonal/>
    </border>
    <border>
      <left style="medium">
        <color theme="2" tint="-0.749992370372631"/>
      </left>
      <right/>
      <top/>
      <bottom style="hair">
        <color theme="2" tint="-0.749992370372631"/>
      </bottom>
      <diagonal/>
    </border>
    <border>
      <left style="medium">
        <color theme="2" tint="-0.749992370372631"/>
      </left>
      <right/>
      <top style="hair">
        <color theme="2" tint="-0.749992370372631"/>
      </top>
      <bottom style="medium">
        <color theme="2" tint="-0.749992370372631"/>
      </bottom>
      <diagonal/>
    </border>
    <border>
      <left/>
      <right/>
      <top style="hair">
        <color theme="2" tint="-0.749992370372631"/>
      </top>
      <bottom style="medium">
        <color theme="2" tint="-0.749992370372631"/>
      </bottom>
      <diagonal/>
    </border>
    <border>
      <left/>
      <right style="medium">
        <color theme="2" tint="-0.749992370372631"/>
      </right>
      <top style="hair">
        <color theme="2" tint="-0.749992370372631"/>
      </top>
      <bottom style="medium">
        <color theme="2" tint="-0.749992370372631"/>
      </bottom>
      <diagonal/>
    </border>
    <border>
      <left style="medium">
        <color indexed="64"/>
      </left>
      <right style="hair">
        <color theme="2" tint="-0.749992370372631"/>
      </right>
      <top style="medium">
        <color indexed="64"/>
      </top>
      <bottom style="medium">
        <color theme="2" tint="-0.749992370372631"/>
      </bottom>
      <diagonal/>
    </border>
    <border>
      <left style="hair">
        <color theme="2" tint="-0.749992370372631"/>
      </left>
      <right style="hair">
        <color theme="2" tint="-0.749992370372631"/>
      </right>
      <top style="medium">
        <color indexed="64"/>
      </top>
      <bottom style="medium">
        <color theme="2" tint="-0.749992370372631"/>
      </bottom>
      <diagonal/>
    </border>
    <border>
      <left style="hair">
        <color theme="2" tint="-0.749992370372631"/>
      </left>
      <right style="medium">
        <color indexed="64"/>
      </right>
      <top style="medium">
        <color indexed="64"/>
      </top>
      <bottom style="medium">
        <color theme="2" tint="-0.749992370372631"/>
      </bottom>
      <diagonal/>
    </border>
    <border>
      <left style="medium">
        <color indexed="64"/>
      </left>
      <right style="hair">
        <color theme="2" tint="-0.749992370372631"/>
      </right>
      <top/>
      <bottom style="hair">
        <color theme="2" tint="-0.749992370372631"/>
      </bottom>
      <diagonal/>
    </border>
    <border>
      <left style="hair">
        <color theme="2" tint="-0.749992370372631"/>
      </left>
      <right style="medium">
        <color indexed="64"/>
      </right>
      <top/>
      <bottom style="hair">
        <color theme="2" tint="-0.749992370372631"/>
      </bottom>
      <diagonal/>
    </border>
    <border>
      <left style="medium">
        <color indexed="64"/>
      </left>
      <right style="hair">
        <color theme="2" tint="-0.749992370372631"/>
      </right>
      <top style="hair">
        <color theme="2" tint="-0.749992370372631"/>
      </top>
      <bottom style="hair">
        <color theme="2" tint="-0.749992370372631"/>
      </bottom>
      <diagonal/>
    </border>
    <border>
      <left style="hair">
        <color theme="2" tint="-0.749992370372631"/>
      </left>
      <right style="medium">
        <color indexed="64"/>
      </right>
      <top style="hair">
        <color theme="2" tint="-0.749992370372631"/>
      </top>
      <bottom style="hair">
        <color theme="2" tint="-0.749992370372631"/>
      </bottom>
      <diagonal/>
    </border>
    <border>
      <left style="hair">
        <color theme="2" tint="-0.749992370372631"/>
      </left>
      <right style="medium">
        <color indexed="64"/>
      </right>
      <top style="hair">
        <color theme="2" tint="-0.749992370372631"/>
      </top>
      <bottom/>
      <diagonal/>
    </border>
    <border>
      <left style="medium">
        <color indexed="64"/>
      </left>
      <right/>
      <top/>
      <bottom style="thick">
        <color theme="4" tint="0.49989318521683401"/>
      </bottom>
      <diagonal/>
    </border>
    <border>
      <left/>
      <right style="medium">
        <color indexed="64"/>
      </right>
      <top/>
      <bottom style="thick">
        <color theme="4" tint="0.49989318521683401"/>
      </bottom>
      <diagonal/>
    </border>
    <border>
      <left style="medium">
        <color indexed="64"/>
      </left>
      <right/>
      <top/>
      <bottom/>
      <diagonal/>
    </border>
    <border>
      <left/>
      <right style="medium">
        <color indexed="64"/>
      </right>
      <top/>
      <bottom/>
      <diagonal/>
    </border>
    <border>
      <left style="hair">
        <color theme="2" tint="-0.749992370372631"/>
      </left>
      <right style="medium">
        <color indexed="64"/>
      </right>
      <top style="thin">
        <color theme="2" tint="-0.749992370372631"/>
      </top>
      <bottom style="double">
        <color theme="2" tint="-0.749992370372631"/>
      </bottom>
      <diagonal/>
    </border>
    <border>
      <left style="medium">
        <color indexed="64"/>
      </left>
      <right style="hair">
        <color theme="2" tint="-0.749992370372631"/>
      </right>
      <top style="hair">
        <color theme="2" tint="-0.749992370372631"/>
      </top>
      <bottom style="medium">
        <color theme="2" tint="-0.74999237037263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medium">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s>
  <cellStyleXfs count="5">
    <xf numFmtId="0" fontId="0" fillId="0" borderId="0"/>
    <xf numFmtId="0" fontId="10" fillId="2" borderId="1"/>
    <xf numFmtId="0" fontId="7" fillId="0" borderId="2"/>
    <xf numFmtId="0" fontId="13" fillId="0" borderId="63" applyNumberFormat="0" applyFill="0" applyAlignment="0" applyProtection="0"/>
    <xf numFmtId="0" fontId="14" fillId="6" borderId="64" applyNumberFormat="0" applyAlignment="0" applyProtection="0"/>
  </cellStyleXfs>
  <cellXfs count="190">
    <xf numFmtId="0" fontId="0" fillId="0" borderId="0" xfId="0"/>
    <xf numFmtId="0" fontId="4" fillId="0" borderId="9" xfId="0" applyFont="1" applyBorder="1" applyAlignment="1">
      <alignment vertical="center"/>
    </xf>
    <xf numFmtId="0" fontId="2" fillId="0" borderId="0" xfId="0" applyFont="1"/>
    <xf numFmtId="0" fontId="1" fillId="0" borderId="6"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3" fillId="0" borderId="9" xfId="0" applyFont="1" applyBorder="1" applyAlignment="1">
      <alignment vertical="center"/>
    </xf>
    <xf numFmtId="0" fontId="3" fillId="0" borderId="10" xfId="0" applyFont="1" applyBorder="1" applyAlignment="1">
      <alignment wrapText="1"/>
    </xf>
    <xf numFmtId="0" fontId="3" fillId="0" borderId="11" xfId="0" applyFont="1" applyBorder="1" applyAlignment="1">
      <alignment wrapText="1"/>
    </xf>
    <xf numFmtId="0" fontId="3" fillId="0" borderId="9" xfId="0" applyFont="1" applyBorder="1" applyAlignment="1">
      <alignment wrapText="1"/>
    </xf>
    <xf numFmtId="0" fontId="3" fillId="0" borderId="10" xfId="0" applyFont="1" applyBorder="1" applyAlignment="1">
      <alignment horizontal="right" wrapText="1"/>
    </xf>
    <xf numFmtId="4" fontId="3" fillId="0" borderId="10" xfId="0" applyNumberFormat="1" applyFont="1" applyBorder="1" applyAlignment="1">
      <alignment horizontal="right" wrapText="1"/>
    </xf>
    <xf numFmtId="4" fontId="3" fillId="0" borderId="11" xfId="0" applyNumberFormat="1" applyFont="1" applyBorder="1" applyAlignment="1">
      <alignment horizontal="right" wrapText="1"/>
    </xf>
    <xf numFmtId="0" fontId="3" fillId="0" borderId="11" xfId="0" applyFont="1" applyBorder="1" applyAlignment="1">
      <alignment horizontal="right" wrapText="1"/>
    </xf>
    <xf numFmtId="0" fontId="3" fillId="0" borderId="12" xfId="0" applyFont="1" applyBorder="1" applyAlignment="1">
      <alignment horizontal="right" wrapText="1"/>
    </xf>
    <xf numFmtId="4" fontId="3" fillId="0" borderId="12" xfId="0" applyNumberFormat="1" applyFont="1" applyBorder="1" applyAlignment="1">
      <alignment horizontal="right" wrapText="1"/>
    </xf>
    <xf numFmtId="4" fontId="3" fillId="0" borderId="13" xfId="0" applyNumberFormat="1" applyFont="1" applyBorder="1" applyAlignment="1">
      <alignment horizontal="right" wrapText="1"/>
    </xf>
    <xf numFmtId="4" fontId="3" fillId="0" borderId="14" xfId="0" applyNumberFormat="1" applyFont="1" applyBorder="1" applyAlignment="1">
      <alignment horizontal="right" wrapText="1"/>
    </xf>
    <xf numFmtId="4" fontId="3" fillId="0" borderId="15" xfId="0" applyNumberFormat="1" applyFont="1" applyBorder="1" applyAlignment="1">
      <alignment horizontal="right" wrapText="1"/>
    </xf>
    <xf numFmtId="0" fontId="4" fillId="0" borderId="9" xfId="0" applyFont="1" applyBorder="1" applyAlignment="1">
      <alignment wrapText="1"/>
    </xf>
    <xf numFmtId="4" fontId="4" fillId="0" borderId="16" xfId="0" applyNumberFormat="1" applyFont="1" applyBorder="1" applyAlignment="1">
      <alignment horizontal="right" wrapText="1"/>
    </xf>
    <xf numFmtId="4" fontId="4" fillId="0" borderId="17" xfId="0" applyNumberFormat="1" applyFont="1" applyBorder="1" applyAlignment="1">
      <alignment horizontal="right" wrapText="1"/>
    </xf>
    <xf numFmtId="0" fontId="1" fillId="0" borderId="9" xfId="0" applyFont="1" applyBorder="1" applyAlignment="1">
      <alignment vertical="center"/>
    </xf>
    <xf numFmtId="0" fontId="3" fillId="0" borderId="18" xfId="0" applyFont="1" applyBorder="1" applyAlignment="1">
      <alignment wrapText="1"/>
    </xf>
    <xf numFmtId="4" fontId="3" fillId="0" borderId="20" xfId="0" applyNumberFormat="1" applyFont="1" applyBorder="1" applyAlignment="1">
      <alignment horizontal="right" wrapText="1"/>
    </xf>
    <xf numFmtId="4" fontId="3" fillId="0" borderId="21" xfId="0" applyNumberFormat="1" applyFont="1" applyBorder="1" applyAlignment="1">
      <alignment horizontal="right" wrapText="1"/>
    </xf>
    <xf numFmtId="0" fontId="3" fillId="0" borderId="10" xfId="0" applyFont="1" applyBorder="1" applyAlignment="1">
      <alignment vertical="center"/>
    </xf>
    <xf numFmtId="0" fontId="3" fillId="0" borderId="12" xfId="0" applyFont="1" applyBorder="1" applyAlignment="1">
      <alignment wrapText="1"/>
    </xf>
    <xf numFmtId="0" fontId="1" fillId="0" borderId="10" xfId="0" applyFont="1" applyBorder="1" applyAlignment="1">
      <alignment vertical="center"/>
    </xf>
    <xf numFmtId="0" fontId="1" fillId="0" borderId="9" xfId="0" applyFont="1" applyBorder="1" applyAlignment="1">
      <alignment wrapText="1"/>
    </xf>
    <xf numFmtId="0" fontId="3" fillId="0" borderId="22" xfId="0" applyFont="1" applyBorder="1" applyAlignment="1">
      <alignment wrapText="1"/>
    </xf>
    <xf numFmtId="0" fontId="3" fillId="0" borderId="23" xfId="0" applyFont="1" applyBorder="1" applyAlignment="1">
      <alignment wrapText="1"/>
    </xf>
    <xf numFmtId="0" fontId="3" fillId="0" borderId="13" xfId="0" applyFont="1" applyBorder="1" applyAlignment="1">
      <alignment horizontal="right" wrapText="1"/>
    </xf>
    <xf numFmtId="0" fontId="3" fillId="0" borderId="13" xfId="0" applyFont="1" applyBorder="1" applyAlignment="1">
      <alignment wrapText="1"/>
    </xf>
    <xf numFmtId="0" fontId="5" fillId="0" borderId="9" xfId="0" applyFont="1" applyBorder="1" applyAlignment="1">
      <alignment vertical="center"/>
    </xf>
    <xf numFmtId="0" fontId="3" fillId="0" borderId="19" xfId="0" applyFont="1" applyBorder="1" applyAlignment="1">
      <alignment horizontal="right" wrapText="1"/>
    </xf>
    <xf numFmtId="0" fontId="3" fillId="0" borderId="24" xfId="0" applyFont="1" applyBorder="1" applyAlignment="1">
      <alignment horizontal="right" wrapText="1"/>
    </xf>
    <xf numFmtId="0" fontId="6" fillId="0" borderId="0" xfId="0" applyFont="1" applyAlignment="1">
      <alignment horizontal="center" vertical="center"/>
    </xf>
    <xf numFmtId="0" fontId="1" fillId="0" borderId="6" xfId="0" applyFont="1" applyBorder="1" applyAlignment="1">
      <alignment vertical="center"/>
    </xf>
    <xf numFmtId="4" fontId="4" fillId="0" borderId="14" xfId="0" applyNumberFormat="1" applyFont="1" applyBorder="1" applyAlignment="1">
      <alignment horizontal="right" wrapText="1"/>
    </xf>
    <xf numFmtId="4" fontId="4" fillId="0" borderId="15" xfId="0" applyNumberFormat="1" applyFont="1" applyBorder="1" applyAlignment="1">
      <alignment horizontal="right" wrapText="1"/>
    </xf>
    <xf numFmtId="0" fontId="4" fillId="0" borderId="14" xfId="0" applyFont="1" applyBorder="1" applyAlignment="1">
      <alignment horizontal="right" wrapText="1"/>
    </xf>
    <xf numFmtId="0" fontId="4" fillId="0" borderId="15" xfId="0" applyFont="1" applyBorder="1" applyAlignment="1">
      <alignment horizontal="right" wrapText="1"/>
    </xf>
    <xf numFmtId="4" fontId="3" fillId="0" borderId="22" xfId="0" applyNumberFormat="1" applyFont="1" applyBorder="1" applyAlignment="1">
      <alignment horizontal="right" wrapText="1"/>
    </xf>
    <xf numFmtId="4" fontId="3" fillId="0" borderId="23" xfId="0" applyNumberFormat="1" applyFont="1" applyBorder="1" applyAlignment="1">
      <alignment horizontal="right" wrapText="1"/>
    </xf>
    <xf numFmtId="0" fontId="3" fillId="0" borderId="7" xfId="0" applyFont="1" applyBorder="1" applyAlignment="1">
      <alignment horizontal="right" wrapText="1"/>
    </xf>
    <xf numFmtId="0" fontId="3" fillId="0" borderId="8" xfId="0" applyFont="1" applyBorder="1" applyAlignment="1">
      <alignment horizontal="right" wrapText="1"/>
    </xf>
    <xf numFmtId="0" fontId="4" fillId="0" borderId="18" xfId="0" applyFont="1" applyBorder="1" applyAlignment="1">
      <alignment wrapText="1"/>
    </xf>
    <xf numFmtId="4" fontId="4" fillId="0" borderId="20" xfId="0" applyNumberFormat="1" applyFont="1" applyBorder="1" applyAlignment="1">
      <alignment horizontal="right" wrapText="1"/>
    </xf>
    <xf numFmtId="4" fontId="4" fillId="0" borderId="21" xfId="0" applyNumberFormat="1" applyFont="1" applyBorder="1" applyAlignment="1">
      <alignment horizontal="right" wrapText="1"/>
    </xf>
    <xf numFmtId="0" fontId="0" fillId="0" borderId="25" xfId="0" applyBorder="1"/>
    <xf numFmtId="4" fontId="3" fillId="0" borderId="7" xfId="0" applyNumberFormat="1" applyFont="1" applyBorder="1" applyAlignment="1">
      <alignment horizontal="right" wrapText="1"/>
    </xf>
    <xf numFmtId="4" fontId="3" fillId="0" borderId="10" xfId="0" applyNumberFormat="1" applyFont="1" applyBorder="1" applyAlignment="1">
      <alignment wrapText="1"/>
    </xf>
    <xf numFmtId="10" fontId="3" fillId="0" borderId="10" xfId="0" applyNumberFormat="1" applyFont="1" applyBorder="1" applyAlignment="1">
      <alignment horizontal="right" wrapText="1"/>
    </xf>
    <xf numFmtId="0" fontId="0" fillId="0" borderId="10" xfId="0" applyBorder="1"/>
    <xf numFmtId="0" fontId="0" fillId="0" borderId="11" xfId="0" applyBorder="1"/>
    <xf numFmtId="0" fontId="0" fillId="0" borderId="12" xfId="0" applyBorder="1"/>
    <xf numFmtId="0" fontId="0" fillId="0" borderId="13" xfId="0" applyBorder="1"/>
    <xf numFmtId="0" fontId="7" fillId="3" borderId="26" xfId="2" applyFill="1" applyBorder="1"/>
    <xf numFmtId="4" fontId="7" fillId="3" borderId="2" xfId="2" applyNumberFormat="1" applyFill="1"/>
    <xf numFmtId="0" fontId="0" fillId="0" borderId="7" xfId="0" applyBorder="1"/>
    <xf numFmtId="0" fontId="0" fillId="0" borderId="8" xfId="0" applyBorder="1"/>
    <xf numFmtId="0" fontId="0" fillId="0" borderId="28" xfId="0" applyBorder="1"/>
    <xf numFmtId="0" fontId="0" fillId="0" borderId="29" xfId="0" applyBorder="1"/>
    <xf numFmtId="0" fontId="1" fillId="4" borderId="33" xfId="1" applyFont="1" applyFill="1" applyBorder="1" applyAlignment="1">
      <alignment horizontal="center" vertical="center"/>
    </xf>
    <xf numFmtId="165" fontId="0" fillId="0" borderId="6" xfId="0" applyNumberFormat="1" applyBorder="1"/>
    <xf numFmtId="0" fontId="0" fillId="0" borderId="7" xfId="0" applyBorder="1" applyAlignment="1">
      <alignment horizontal="right"/>
    </xf>
    <xf numFmtId="10" fontId="0" fillId="0" borderId="7" xfId="0" applyNumberFormat="1" applyBorder="1"/>
    <xf numFmtId="10" fontId="0" fillId="0" borderId="8" xfId="0" applyNumberFormat="1" applyBorder="1"/>
    <xf numFmtId="165" fontId="0" fillId="0" borderId="9" xfId="0" applyNumberFormat="1" applyBorder="1"/>
    <xf numFmtId="0" fontId="0" fillId="0" borderId="10" xfId="0" applyBorder="1" applyAlignment="1">
      <alignment horizontal="right"/>
    </xf>
    <xf numFmtId="10" fontId="0" fillId="0" borderId="10" xfId="0" applyNumberFormat="1" applyBorder="1"/>
    <xf numFmtId="10" fontId="0" fillId="0" borderId="11" xfId="0" applyNumberFormat="1" applyBorder="1"/>
    <xf numFmtId="0" fontId="0" fillId="0" borderId="19" xfId="0" applyBorder="1" applyAlignment="1">
      <alignment horizontal="right"/>
    </xf>
    <xf numFmtId="10" fontId="0" fillId="0" borderId="19" xfId="0" applyNumberFormat="1" applyBorder="1"/>
    <xf numFmtId="10" fontId="0" fillId="0" borderId="24" xfId="0" applyNumberFormat="1" applyBorder="1"/>
    <xf numFmtId="165" fontId="0" fillId="0" borderId="18" xfId="0" applyNumberFormat="1" applyBorder="1"/>
    <xf numFmtId="0" fontId="0" fillId="0" borderId="19" xfId="0" applyBorder="1"/>
    <xf numFmtId="0" fontId="0" fillId="0" borderId="24" xfId="0" applyBorder="1"/>
    <xf numFmtId="166" fontId="7" fillId="3" borderId="27" xfId="2" applyNumberFormat="1" applyFill="1" applyBorder="1"/>
    <xf numFmtId="0" fontId="8" fillId="0" borderId="34" xfId="0" applyFont="1" applyBorder="1" applyAlignment="1">
      <alignment vertical="center" wrapText="1" readingOrder="1"/>
    </xf>
    <xf numFmtId="4" fontId="8" fillId="0" borderId="12" xfId="0" applyNumberFormat="1" applyFont="1" applyBorder="1" applyAlignment="1">
      <alignment horizontal="right" vertical="center" wrapText="1" indent="1" readingOrder="1"/>
    </xf>
    <xf numFmtId="4" fontId="8" fillId="0" borderId="25" xfId="0" applyNumberFormat="1" applyFont="1" applyBorder="1" applyAlignment="1">
      <alignment horizontal="right" vertical="center" wrapText="1" indent="1" readingOrder="1"/>
    </xf>
    <xf numFmtId="4" fontId="8" fillId="0" borderId="35" xfId="0" applyNumberFormat="1" applyFont="1" applyBorder="1" applyAlignment="1">
      <alignment horizontal="right" vertical="center" wrapText="1" readingOrder="1"/>
    </xf>
    <xf numFmtId="0" fontId="8" fillId="0" borderId="36" xfId="0" applyFont="1" applyBorder="1" applyAlignment="1">
      <alignment vertical="center" wrapText="1" readingOrder="1"/>
    </xf>
    <xf numFmtId="0" fontId="8" fillId="0" borderId="10" xfId="0" applyFont="1" applyBorder="1" applyAlignment="1">
      <alignment horizontal="right" vertical="center" wrapText="1" indent="1" readingOrder="1"/>
    </xf>
    <xf numFmtId="0" fontId="8" fillId="0" borderId="37" xfId="0" applyFont="1" applyBorder="1" applyAlignment="1">
      <alignment horizontal="right" vertical="center" wrapText="1" indent="1" readingOrder="1"/>
    </xf>
    <xf numFmtId="0" fontId="8" fillId="0" borderId="38" xfId="0" applyFont="1" applyBorder="1" applyAlignment="1">
      <alignment horizontal="right" vertical="center" wrapText="1" readingOrder="1"/>
    </xf>
    <xf numFmtId="0" fontId="8" fillId="0" borderId="28" xfId="0" applyFont="1" applyBorder="1" applyAlignment="1">
      <alignment vertical="center" wrapText="1" readingOrder="1"/>
    </xf>
    <xf numFmtId="0" fontId="8" fillId="0" borderId="22" xfId="0" applyFont="1" applyBorder="1" applyAlignment="1">
      <alignment horizontal="right" vertical="center" wrapText="1" indent="1" readingOrder="1"/>
    </xf>
    <xf numFmtId="0" fontId="8" fillId="0" borderId="29" xfId="0" applyFont="1" applyBorder="1" applyAlignment="1">
      <alignment horizontal="right" vertical="center" wrapText="1" readingOrder="1"/>
    </xf>
    <xf numFmtId="4" fontId="8" fillId="0" borderId="10" xfId="0" applyNumberFormat="1" applyFont="1" applyBorder="1" applyAlignment="1">
      <alignment horizontal="right" vertical="center" wrapText="1" indent="1" readingOrder="1"/>
    </xf>
    <xf numFmtId="4" fontId="8" fillId="0" borderId="37" xfId="0" applyNumberFormat="1" applyFont="1" applyBorder="1" applyAlignment="1">
      <alignment horizontal="right" vertical="center" wrapText="1" indent="1" readingOrder="1"/>
    </xf>
    <xf numFmtId="3" fontId="8" fillId="0" borderId="22" xfId="0" applyNumberFormat="1" applyFont="1" applyBorder="1" applyAlignment="1">
      <alignment horizontal="right" vertical="center" wrapText="1" indent="1" readingOrder="1"/>
    </xf>
    <xf numFmtId="3" fontId="8" fillId="0" borderId="29" xfId="0" applyNumberFormat="1" applyFont="1" applyBorder="1" applyAlignment="1">
      <alignment horizontal="right" vertical="center" wrapText="1" indent="1" readingOrder="1"/>
    </xf>
    <xf numFmtId="3" fontId="8" fillId="0" borderId="10" xfId="0" applyNumberFormat="1" applyFont="1" applyBorder="1" applyAlignment="1">
      <alignment horizontal="right" vertical="center" wrapText="1" indent="1" readingOrder="1"/>
    </xf>
    <xf numFmtId="3" fontId="8" fillId="0" borderId="37" xfId="0" applyNumberFormat="1" applyFont="1" applyBorder="1" applyAlignment="1">
      <alignment horizontal="right" vertical="center" wrapText="1" indent="1" readingOrder="1"/>
    </xf>
    <xf numFmtId="3" fontId="8" fillId="0" borderId="38" xfId="0" applyNumberFormat="1" applyFont="1" applyBorder="1" applyAlignment="1">
      <alignment horizontal="right" vertical="center" wrapText="1" readingOrder="1"/>
    </xf>
    <xf numFmtId="0" fontId="7" fillId="3" borderId="2" xfId="2" applyFill="1"/>
    <xf numFmtId="0" fontId="0" fillId="0" borderId="39" xfId="0" applyBorder="1"/>
    <xf numFmtId="0" fontId="11" fillId="2" borderId="3" xfId="1" applyFont="1" applyBorder="1" applyAlignment="1">
      <alignment horizontal="center" vertical="center" wrapText="1"/>
    </xf>
    <xf numFmtId="0" fontId="11" fillId="2" borderId="4" xfId="1" applyFont="1" applyBorder="1" applyAlignment="1">
      <alignment horizontal="center" vertical="center" wrapText="1"/>
    </xf>
    <xf numFmtId="164" fontId="11" fillId="2" borderId="4" xfId="1" applyNumberFormat="1" applyFont="1" applyBorder="1" applyAlignment="1">
      <alignment horizontal="center" vertical="center" wrapText="1"/>
    </xf>
    <xf numFmtId="164" fontId="11" fillId="2" borderId="5" xfId="1" applyNumberFormat="1" applyFont="1" applyBorder="1" applyAlignment="1">
      <alignment horizontal="center" vertical="center" wrapText="1"/>
    </xf>
    <xf numFmtId="0" fontId="12" fillId="2" borderId="3" xfId="1" applyFont="1" applyBorder="1" applyAlignment="1">
      <alignment horizontal="center" vertical="center"/>
    </xf>
    <xf numFmtId="0" fontId="12" fillId="2" borderId="4" xfId="1" applyFont="1" applyBorder="1" applyAlignment="1">
      <alignment horizontal="center" vertical="center"/>
    </xf>
    <xf numFmtId="0" fontId="12" fillId="2" borderId="30" xfId="1" applyFont="1" applyBorder="1" applyAlignment="1">
      <alignment horizontal="center" vertical="center"/>
    </xf>
    <xf numFmtId="0" fontId="12" fillId="2" borderId="31" xfId="1" applyFont="1" applyBorder="1" applyAlignment="1">
      <alignment horizontal="center" vertical="center"/>
    </xf>
    <xf numFmtId="0" fontId="11" fillId="2" borderId="31" xfId="1" applyFont="1" applyBorder="1" applyAlignment="1">
      <alignment horizontal="center" vertical="center"/>
    </xf>
    <xf numFmtId="0" fontId="11" fillId="2" borderId="32" xfId="1" applyFont="1" applyBorder="1" applyAlignment="1">
      <alignment horizontal="center" vertical="center"/>
    </xf>
    <xf numFmtId="0" fontId="12" fillId="2" borderId="5" xfId="1" applyFont="1" applyBorder="1" applyAlignment="1">
      <alignment horizontal="center" vertical="center"/>
    </xf>
    <xf numFmtId="0" fontId="12" fillId="2" borderId="32" xfId="1" applyFont="1" applyBorder="1" applyAlignment="1">
      <alignment horizontal="center" vertical="center"/>
    </xf>
    <xf numFmtId="0" fontId="0" fillId="0" borderId="41" xfId="0" applyBorder="1"/>
    <xf numFmtId="10" fontId="0" fillId="0" borderId="37" xfId="0" applyNumberFormat="1" applyBorder="1"/>
    <xf numFmtId="0" fontId="0" fillId="0" borderId="22" xfId="0" applyBorder="1"/>
    <xf numFmtId="0" fontId="0" fillId="0" borderId="23" xfId="0" applyBorder="1"/>
    <xf numFmtId="0" fontId="0" fillId="0" borderId="34" xfId="0" applyBorder="1"/>
    <xf numFmtId="0" fontId="0" fillId="0" borderId="36" xfId="0" applyBorder="1"/>
    <xf numFmtId="0" fontId="0" fillId="0" borderId="42" xfId="0" applyBorder="1"/>
    <xf numFmtId="4" fontId="0" fillId="0" borderId="8" xfId="0" applyNumberFormat="1" applyBorder="1"/>
    <xf numFmtId="166" fontId="7" fillId="3" borderId="2" xfId="2" applyNumberFormat="1" applyFill="1"/>
    <xf numFmtId="0" fontId="8" fillId="0" borderId="0" xfId="0" applyFont="1" applyAlignment="1">
      <alignment horizontal="right" vertical="center" wrapText="1" indent="1" readingOrder="1"/>
    </xf>
    <xf numFmtId="3" fontId="8" fillId="0" borderId="0" xfId="0" applyNumberFormat="1" applyFont="1" applyAlignment="1">
      <alignment horizontal="right" vertical="center" wrapText="1" indent="1" readingOrder="1"/>
    </xf>
    <xf numFmtId="0" fontId="9" fillId="0" borderId="43" xfId="0" applyFont="1" applyBorder="1"/>
    <xf numFmtId="0" fontId="9" fillId="0" borderId="19" xfId="0" applyFont="1" applyBorder="1"/>
    <xf numFmtId="0" fontId="9" fillId="0" borderId="44" xfId="0" applyFont="1" applyBorder="1"/>
    <xf numFmtId="0" fontId="9" fillId="0" borderId="45" xfId="0" applyFont="1" applyBorder="1"/>
    <xf numFmtId="0" fontId="12" fillId="2" borderId="46" xfId="1" applyFont="1" applyBorder="1" applyAlignment="1">
      <alignment horizontal="center" vertical="center"/>
    </xf>
    <xf numFmtId="0" fontId="12" fillId="2" borderId="47" xfId="1" applyFont="1" applyBorder="1" applyAlignment="1">
      <alignment horizontal="center" vertical="center"/>
    </xf>
    <xf numFmtId="4" fontId="12" fillId="2" borderId="48" xfId="1" applyNumberFormat="1" applyFont="1" applyBorder="1" applyAlignment="1">
      <alignment horizontal="center" vertical="center"/>
    </xf>
    <xf numFmtId="0" fontId="0" fillId="0" borderId="49" xfId="0" applyBorder="1"/>
    <xf numFmtId="4" fontId="3" fillId="0" borderId="50" xfId="0" applyNumberFormat="1" applyFont="1" applyBorder="1" applyAlignment="1">
      <alignment horizontal="right" wrapText="1"/>
    </xf>
    <xf numFmtId="0" fontId="0" fillId="0" borderId="51" xfId="0" applyBorder="1"/>
    <xf numFmtId="0" fontId="3" fillId="0" borderId="52" xfId="0" applyFont="1" applyBorder="1" applyAlignment="1">
      <alignment horizontal="right" wrapText="1"/>
    </xf>
    <xf numFmtId="4" fontId="3" fillId="0" borderId="52" xfId="0" applyNumberFormat="1" applyFont="1" applyBorder="1" applyAlignment="1">
      <alignment horizontal="right" wrapText="1"/>
    </xf>
    <xf numFmtId="4" fontId="3" fillId="0" borderId="52" xfId="0" applyNumberFormat="1" applyFont="1" applyBorder="1" applyAlignment="1">
      <alignment wrapText="1"/>
    </xf>
    <xf numFmtId="10" fontId="3" fillId="0" borderId="52" xfId="0" applyNumberFormat="1" applyFont="1" applyBorder="1" applyAlignment="1">
      <alignment horizontal="right" wrapText="1"/>
    </xf>
    <xf numFmtId="0" fontId="3" fillId="0" borderId="52" xfId="0" applyFont="1" applyBorder="1" applyAlignment="1">
      <alignment wrapText="1"/>
    </xf>
    <xf numFmtId="0" fontId="0" fillId="0" borderId="52" xfId="0" applyBorder="1"/>
    <xf numFmtId="0" fontId="0" fillId="0" borderId="53" xfId="0" applyBorder="1"/>
    <xf numFmtId="0" fontId="7" fillId="3" borderId="54" xfId="2" applyFill="1" applyBorder="1"/>
    <xf numFmtId="4" fontId="7" fillId="3" borderId="55" xfId="2" applyNumberFormat="1" applyFill="1" applyBorder="1"/>
    <xf numFmtId="0" fontId="0" fillId="0" borderId="50" xfId="0" applyBorder="1"/>
    <xf numFmtId="0" fontId="0" fillId="0" borderId="56" xfId="0" applyBorder="1"/>
    <xf numFmtId="0" fontId="0" fillId="0" borderId="57" xfId="0" applyBorder="1"/>
    <xf numFmtId="0" fontId="3" fillId="0" borderId="51" xfId="0" applyFont="1" applyBorder="1" applyAlignment="1">
      <alignment wrapText="1"/>
    </xf>
    <xf numFmtId="0" fontId="3" fillId="0" borderId="53" xfId="0" applyFont="1" applyBorder="1" applyAlignment="1">
      <alignment horizontal="right" wrapText="1"/>
    </xf>
    <xf numFmtId="0" fontId="4" fillId="0" borderId="51" xfId="0" applyFont="1" applyBorder="1" applyAlignment="1">
      <alignment wrapText="1"/>
    </xf>
    <xf numFmtId="4" fontId="3" fillId="0" borderId="58" xfId="0" applyNumberFormat="1" applyFont="1" applyBorder="1" applyAlignment="1">
      <alignment horizontal="right" wrapText="1"/>
    </xf>
    <xf numFmtId="0" fontId="3" fillId="0" borderId="50" xfId="0" applyFont="1" applyBorder="1" applyAlignment="1">
      <alignment wrapText="1"/>
    </xf>
    <xf numFmtId="4" fontId="3" fillId="0" borderId="53" xfId="0" applyNumberFormat="1" applyFont="1" applyBorder="1" applyAlignment="1">
      <alignment horizontal="right" wrapText="1"/>
    </xf>
    <xf numFmtId="0" fontId="4" fillId="0" borderId="59" xfId="0" applyFont="1" applyBorder="1" applyAlignment="1">
      <alignment wrapText="1"/>
    </xf>
    <xf numFmtId="0" fontId="0" fillId="0" borderId="60" xfId="0" applyBorder="1"/>
    <xf numFmtId="0" fontId="0" fillId="0" borderId="61" xfId="0" applyBorder="1"/>
    <xf numFmtId="0" fontId="0" fillId="0" borderId="62" xfId="0" applyBorder="1"/>
    <xf numFmtId="167" fontId="3" fillId="0" borderId="10" xfId="0" applyNumberFormat="1" applyFont="1" applyBorder="1" applyAlignment="1">
      <alignment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10" xfId="0" applyFont="1" applyBorder="1" applyAlignment="1">
      <alignment horizontal="center" wrapText="1"/>
    </xf>
    <xf numFmtId="0" fontId="3" fillId="0" borderId="11" xfId="0" applyFont="1" applyBorder="1" applyAlignment="1">
      <alignment horizontal="center" wrapText="1"/>
    </xf>
    <xf numFmtId="0" fontId="4" fillId="0" borderId="10" xfId="0" applyFont="1" applyBorder="1" applyAlignment="1">
      <alignment horizontal="center" wrapText="1"/>
    </xf>
    <xf numFmtId="0" fontId="3" fillId="0" borderId="19" xfId="0" applyFont="1" applyBorder="1" applyAlignment="1">
      <alignment horizontal="center" wrapText="1"/>
    </xf>
    <xf numFmtId="0" fontId="0" fillId="0" borderId="0" xfId="0" applyAlignment="1">
      <alignment horizontal="center"/>
    </xf>
    <xf numFmtId="0" fontId="6" fillId="0" borderId="0" xfId="0" applyFont="1"/>
    <xf numFmtId="0" fontId="13" fillId="5" borderId="63" xfId="3" applyFill="1"/>
    <xf numFmtId="166" fontId="13" fillId="5" borderId="63" xfId="3" applyNumberFormat="1" applyFill="1"/>
    <xf numFmtId="0" fontId="0" fillId="0" borderId="65" xfId="0" applyBorder="1"/>
    <xf numFmtId="0" fontId="0" fillId="0" borderId="66" xfId="0" applyBorder="1"/>
    <xf numFmtId="0" fontId="0" fillId="0" borderId="67" xfId="0" applyBorder="1"/>
    <xf numFmtId="0" fontId="14" fillId="6" borderId="66" xfId="4" applyBorder="1"/>
    <xf numFmtId="0" fontId="0" fillId="0" borderId="68" xfId="0" applyBorder="1"/>
    <xf numFmtId="0" fontId="0" fillId="0" borderId="69" xfId="0" applyBorder="1"/>
    <xf numFmtId="4" fontId="0" fillId="0" borderId="69" xfId="0" applyNumberFormat="1" applyBorder="1"/>
    <xf numFmtId="4" fontId="0" fillId="0" borderId="70" xfId="0" applyNumberFormat="1" applyBorder="1"/>
    <xf numFmtId="0" fontId="11" fillId="2" borderId="71" xfId="1" applyFont="1" applyBorder="1" applyAlignment="1">
      <alignment horizontal="center" vertical="center" wrapText="1"/>
    </xf>
    <xf numFmtId="0" fontId="11" fillId="2" borderId="72" xfId="1" applyFont="1" applyBorder="1" applyAlignment="1">
      <alignment horizontal="center" vertical="center" wrapText="1"/>
    </xf>
    <xf numFmtId="164" fontId="11" fillId="2" borderId="72" xfId="1" applyNumberFormat="1" applyFont="1" applyBorder="1" applyAlignment="1">
      <alignment horizontal="center" vertical="center" wrapText="1"/>
    </xf>
    <xf numFmtId="164" fontId="11" fillId="2" borderId="73" xfId="1" applyNumberFormat="1" applyFont="1" applyBorder="1" applyAlignment="1">
      <alignment horizontal="center" vertical="center" wrapText="1"/>
    </xf>
    <xf numFmtId="0" fontId="14" fillId="6" borderId="75" xfId="4" applyBorder="1"/>
    <xf numFmtId="166" fontId="14" fillId="6" borderId="75" xfId="4" applyNumberFormat="1" applyBorder="1"/>
    <xf numFmtId="166" fontId="14" fillId="6" borderId="74" xfId="4" applyNumberFormat="1" applyBorder="1"/>
    <xf numFmtId="0" fontId="14" fillId="6" borderId="77" xfId="4" applyBorder="1"/>
    <xf numFmtId="166" fontId="14" fillId="6" borderId="77" xfId="4" applyNumberFormat="1" applyBorder="1"/>
    <xf numFmtId="166" fontId="14" fillId="6" borderId="76" xfId="4" applyNumberFormat="1" applyBorder="1"/>
    <xf numFmtId="0" fontId="0" fillId="0" borderId="70" xfId="0" applyBorder="1"/>
    <xf numFmtId="0" fontId="4" fillId="0" borderId="9" xfId="0" applyFont="1" applyBorder="1" applyAlignment="1">
      <alignment vertical="center"/>
    </xf>
    <xf numFmtId="0" fontId="0" fillId="0" borderId="6" xfId="0" applyBorder="1" applyAlignment="1">
      <alignment horizontal="center" vertical="center"/>
    </xf>
    <xf numFmtId="0" fontId="0" fillId="0" borderId="40" xfId="0" applyBorder="1" applyAlignment="1">
      <alignment horizontal="center" vertical="center"/>
    </xf>
    <xf numFmtId="0" fontId="0" fillId="0" borderId="0" xfId="0" applyAlignment="1">
      <alignment horizontal="left" vertical="top" wrapText="1"/>
    </xf>
    <xf numFmtId="0" fontId="0" fillId="0" borderId="0" xfId="0" applyAlignment="1">
      <alignment wrapText="1"/>
    </xf>
  </cellXfs>
  <cellStyles count="5">
    <cellStyle name="Calculation" xfId="4" builtinId="22"/>
    <cellStyle name="Excel Built-in Heading 2" xfId="2" xr:uid="{00000000-0005-0000-0000-000007000000}"/>
    <cellStyle name="Excel Built-in Note" xfId="1" xr:uid="{00000000-0005-0000-0000-000006000000}"/>
    <cellStyle name="Heading 2" xfId="3" builtinId="17"/>
    <cellStyle name="Normal" xfId="0" builtinId="0"/>
  </cellStyles>
  <dxfs count="7">
    <dxf>
      <border diagonalUp="0" diagonalDown="0">
        <left style="hair">
          <color theme="2" tint="-0.749992370372631"/>
        </left>
        <right/>
        <vertical style="hair">
          <color theme="2" tint="-0.749992370372631"/>
        </vertical>
      </border>
    </dxf>
    <dxf>
      <border diagonalUp="0" diagonalDown="0">
        <left style="hair">
          <color theme="2" tint="-0.749992370372631"/>
        </left>
        <right style="hair">
          <color theme="2" tint="-0.749992370372631"/>
        </right>
        <vertical style="hair">
          <color theme="2" tint="-0.749992370372631"/>
        </vertical>
      </border>
    </dxf>
    <dxf>
      <border diagonalUp="0" diagonalDown="0">
        <left style="hair">
          <color theme="2" tint="-0.749992370372631"/>
        </left>
        <right style="hair">
          <color theme="2" tint="-0.749992370372631"/>
        </right>
        <vertical style="hair">
          <color theme="2" tint="-0.749992370372631"/>
        </vertical>
      </border>
    </dxf>
    <dxf>
      <border diagonalUp="0" diagonalDown="0">
        <left style="hair">
          <color theme="2" tint="-0.749992370372631"/>
        </left>
        <right style="hair">
          <color theme="2" tint="-0.749992370372631"/>
        </right>
        <vertical style="hair">
          <color theme="2" tint="-0.749992370372631"/>
        </vertical>
      </border>
    </dxf>
    <dxf>
      <border diagonalUp="0" diagonalDown="0">
        <left/>
        <right style="hair">
          <color theme="2" tint="-0.749992370372631"/>
        </right>
        <vertical style="hair">
          <color theme="2" tint="-0.749992370372631"/>
        </vertical>
      </border>
    </dxf>
    <dxf>
      <font>
        <strike val="0"/>
        <outline val="0"/>
        <shadow val="0"/>
        <u val="none"/>
        <vertAlign val="baseline"/>
        <sz val="12"/>
        <color theme="3" tint="0.24988555558946501"/>
        <name val="Aptos Narrow"/>
        <family val="2"/>
        <charset val="1"/>
        <scheme val="none"/>
      </font>
      <border diagonalUp="0" diagonalDown="0" outline="0">
        <left style="hair">
          <color theme="2" tint="-0.749992370372631"/>
        </left>
        <right style="hair">
          <color theme="2" tint="-0.749992370372631"/>
        </right>
      </border>
    </dxf>
    <dxf>
      <font>
        <strike val="0"/>
        <outline val="0"/>
        <shadow val="0"/>
        <u val="none"/>
        <vertAlign val="baseline"/>
        <sz val="12"/>
        <color theme="3" tint="0.24988555558946501"/>
        <name val="Aptos Narrow"/>
        <family val="2"/>
        <charset val="1"/>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215F9A"/>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64BEE6"/>
      <rgbColor rgb="FF99CC00"/>
      <rgbColor rgb="FFFFCC00"/>
      <rgbColor rgb="FFFF9900"/>
      <rgbColor rgb="FFFF6600"/>
      <rgbColor rgb="FF666699"/>
      <rgbColor rgb="FF969696"/>
      <rgbColor rgb="FF0E2841"/>
      <rgbColor rgb="FF339966"/>
      <rgbColor rgb="FF003300"/>
      <rgbColor rgb="FF1F1F1F"/>
      <rgbColor rgb="FF993300"/>
      <rgbColor rgb="FF993366"/>
      <rgbColor rgb="FF333399"/>
      <rgbColor rgb="FF3A3A3A"/>
      <rgbColor rgb="00003366"/>
      <rgbColor rgb="00339966"/>
      <rgbColor rgb="00003300"/>
      <rgbColor rgb="00333300"/>
      <rgbColor rgb="00993300"/>
      <rgbColor rgb="00993366"/>
      <rgbColor rgb="00333399"/>
      <rgbColor rgb="00333333"/>
    </indexedColors>
    <mruColors>
      <color rgb="FFFAFC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5</xdr:col>
      <xdr:colOff>317500</xdr:colOff>
      <xdr:row>2</xdr:row>
      <xdr:rowOff>95250</xdr:rowOff>
    </xdr:from>
    <xdr:to>
      <xdr:col>13</xdr:col>
      <xdr:colOff>476250</xdr:colOff>
      <xdr:row>18</xdr:row>
      <xdr:rowOff>114300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3365500" y="463550"/>
          <a:ext cx="5035550" cy="296545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4000" b="1">
              <a:solidFill>
                <a:srgbClr val="FAFCA8"/>
              </a:solidFill>
              <a:latin typeface="+mn-lt"/>
            </a:rPr>
            <a:t>MPHASIS LTD.</a:t>
          </a:r>
        </a:p>
        <a:p>
          <a:pPr algn="ctr"/>
          <a:r>
            <a:rPr lang="en-IN" sz="1600" b="1">
              <a:solidFill>
                <a:srgbClr val="FAFCA8"/>
              </a:solidFill>
              <a:latin typeface="+mn-lt"/>
            </a:rPr>
            <a:t>(FCFF,FCFE,MVA</a:t>
          </a:r>
          <a:r>
            <a:rPr lang="en-IN" sz="1600" b="1" baseline="0">
              <a:solidFill>
                <a:srgbClr val="FAFCA8"/>
              </a:solidFill>
              <a:latin typeface="+mn-lt"/>
            </a:rPr>
            <a:t> &amp; EVA)</a:t>
          </a:r>
          <a:endParaRPr lang="en-IN" sz="1600" b="1">
            <a:solidFill>
              <a:srgbClr val="FAFCA8"/>
            </a:solidFill>
            <a:latin typeface="+mn-lt"/>
          </a:endParaRPr>
        </a:p>
      </xdr:txBody>
    </xdr:sp>
    <xdr:clientData/>
  </xdr:twoCellAnchor>
  <xdr:oneCellAnchor>
    <xdr:from>
      <xdr:col>5</xdr:col>
      <xdr:colOff>577850</xdr:colOff>
      <xdr:row>15</xdr:row>
      <xdr:rowOff>101600</xdr:rowOff>
    </xdr:from>
    <xdr:ext cx="2031999" cy="443711"/>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625850" y="2863850"/>
          <a:ext cx="2031999" cy="443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rPr>
            <a:t>Name:</a:t>
          </a:r>
          <a:r>
            <a:rPr lang="en-IN" sz="105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rPr>
            <a:t> Janhavi Patil</a:t>
          </a:r>
        </a:p>
        <a:p>
          <a:r>
            <a:rPr lang="en-IN" sz="105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rPr>
            <a:t>Roll No.:92</a:t>
          </a:r>
          <a:endParaRPr lang="en-IN" sz="105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G14" totalsRowShown="0" headerRowDxfId="6">
  <autoFilter ref="A1:G14"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000-000001000000}" name="Particulars"/>
    <tableColumn id="2" xr3:uid="{00000000-0010-0000-0000-000002000000}" name="FY 25"/>
    <tableColumn id="3" xr3:uid="{00000000-0010-0000-0000-000003000000}" name="FY 24"/>
    <tableColumn id="4" xr3:uid="{00000000-0010-0000-0000-000004000000}" name="FY 23"/>
    <tableColumn id="5" xr3:uid="{00000000-0010-0000-0000-000005000000}" name="FY 22"/>
    <tableColumn id="6" xr3:uid="{00000000-0010-0000-0000-000006000000}" name="FY 21"/>
    <tableColumn id="7" xr3:uid="{00000000-0010-0000-0000-000007000000}" name="FY 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I1:M7" totalsRowShown="0" headerRowDxfId="5">
  <autoFilter ref="I1:M7" xr:uid="{00000000-0009-0000-0100-000002000000}">
    <filterColumn colId="0" hiddenButton="1"/>
    <filterColumn colId="1" hiddenButton="1"/>
    <filterColumn colId="2" hiddenButton="1"/>
    <filterColumn colId="3" hiddenButton="1"/>
    <filterColumn colId="4" hiddenButton="1"/>
  </autoFilter>
  <tableColumns count="5">
    <tableColumn id="1" xr3:uid="{00000000-0010-0000-0100-000001000000}" name="Fiscal Year" dataDxfId="4"/>
    <tableColumn id="2" xr3:uid="{00000000-0010-0000-0100-000002000000}" name="Rf (Bond Yield)" dataDxfId="3"/>
    <tableColumn id="3" xr3:uid="{00000000-0010-0000-0100-000003000000}" name="ERP" dataDxfId="2"/>
    <tableColumn id="4" xr3:uid="{00000000-0010-0000-0100-000004000000}" name="Ke = Rf + β×ERP" dataDxfId="1"/>
    <tableColumn id="5" xr3:uid="{00000000-0010-0000-0100-000005000000}" name="WACC "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14A0B-328C-4363-8841-B2A1D5600BE3}">
  <sheetPr>
    <tabColor theme="7" tint="0.39997558519241921"/>
  </sheetPr>
  <dimension ref="A1"/>
  <sheetViews>
    <sheetView workbookViewId="0">
      <selection activeCell="P15" sqref="P15"/>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39997558519241921"/>
  </sheetPr>
  <dimension ref="A1:I59"/>
  <sheetViews>
    <sheetView topLeftCell="B15" zoomScale="94" zoomScaleNormal="94" workbookViewId="0">
      <selection activeCell="L56" sqref="L56"/>
    </sheetView>
  </sheetViews>
  <sheetFormatPr defaultColWidth="8.54296875" defaultRowHeight="14.5" x14ac:dyDescent="0.35"/>
  <cols>
    <col min="1" max="1" width="32.54296875" customWidth="1"/>
    <col min="2" max="2" width="7.36328125" style="162" bestFit="1" customWidth="1"/>
    <col min="3" max="8" width="11.6328125" bestFit="1" customWidth="1"/>
  </cols>
  <sheetData>
    <row r="1" spans="1:9" ht="28.5" customHeight="1" x14ac:dyDescent="0.35">
      <c r="A1" s="100" t="s">
        <v>0</v>
      </c>
      <c r="B1" s="101" t="s">
        <v>1</v>
      </c>
      <c r="C1" s="102">
        <v>45747</v>
      </c>
      <c r="D1" s="102">
        <v>45382</v>
      </c>
      <c r="E1" s="102">
        <v>45016</v>
      </c>
      <c r="F1" s="102">
        <v>44651</v>
      </c>
      <c r="G1" s="102">
        <v>44286</v>
      </c>
      <c r="H1" s="103">
        <v>43921</v>
      </c>
      <c r="I1" s="2" t="s">
        <v>2</v>
      </c>
    </row>
    <row r="2" spans="1:9" x14ac:dyDescent="0.35">
      <c r="A2" s="3" t="s">
        <v>3</v>
      </c>
      <c r="B2" s="156"/>
      <c r="C2" s="4"/>
      <c r="D2" s="4"/>
      <c r="E2" s="4"/>
      <c r="F2" s="4"/>
      <c r="G2" s="4"/>
      <c r="H2" s="5"/>
    </row>
    <row r="3" spans="1:9" x14ac:dyDescent="0.35">
      <c r="A3" s="6" t="s">
        <v>4</v>
      </c>
      <c r="B3" s="158"/>
      <c r="C3" s="7"/>
      <c r="D3" s="7"/>
      <c r="E3" s="7"/>
      <c r="F3" s="7"/>
      <c r="G3" s="7"/>
      <c r="H3" s="8"/>
    </row>
    <row r="4" spans="1:9" x14ac:dyDescent="0.35">
      <c r="A4" s="9" t="s">
        <v>5</v>
      </c>
      <c r="B4" s="158">
        <v>3</v>
      </c>
      <c r="C4" s="11">
        <v>1771.09</v>
      </c>
      <c r="D4" s="11">
        <v>1967.33</v>
      </c>
      <c r="E4" s="11">
        <v>2249.12</v>
      </c>
      <c r="F4" s="11">
        <v>2456.54</v>
      </c>
      <c r="G4" s="11">
        <v>2117.8200000000002</v>
      </c>
      <c r="H4" s="12">
        <v>1699.74</v>
      </c>
    </row>
    <row r="5" spans="1:9" x14ac:dyDescent="0.35">
      <c r="A5" s="9" t="s">
        <v>6</v>
      </c>
      <c r="B5" s="158">
        <v>3</v>
      </c>
      <c r="C5" s="10">
        <v>1.82</v>
      </c>
      <c r="D5" s="10">
        <v>136.93</v>
      </c>
      <c r="E5" s="10">
        <v>54.6</v>
      </c>
      <c r="F5" s="10">
        <v>109.84</v>
      </c>
      <c r="G5" s="10">
        <v>31.27</v>
      </c>
      <c r="H5" s="13">
        <v>73.8</v>
      </c>
    </row>
    <row r="6" spans="1:9" x14ac:dyDescent="0.35">
      <c r="A6" s="9" t="s">
        <v>7</v>
      </c>
      <c r="B6" s="158">
        <v>4</v>
      </c>
      <c r="C6" s="11">
        <v>6444.73</v>
      </c>
      <c r="D6" s="11">
        <v>7248.1</v>
      </c>
      <c r="E6" s="11">
        <v>7469</v>
      </c>
      <c r="F6" s="11">
        <v>6236.31</v>
      </c>
      <c r="G6" s="11">
        <v>5677.15</v>
      </c>
      <c r="H6" s="12">
        <v>6236.41</v>
      </c>
    </row>
    <row r="7" spans="1:9" x14ac:dyDescent="0.35">
      <c r="A7" s="9" t="s">
        <v>8</v>
      </c>
      <c r="B7" s="158">
        <v>5</v>
      </c>
      <c r="C7" s="11">
        <v>42907.06</v>
      </c>
      <c r="D7" s="11">
        <v>41792.68</v>
      </c>
      <c r="E7" s="11">
        <v>29585.89</v>
      </c>
      <c r="F7" s="11">
        <v>27348.06</v>
      </c>
      <c r="G7" s="11">
        <v>21325.67</v>
      </c>
      <c r="H7" s="12">
        <v>21404.74</v>
      </c>
    </row>
    <row r="8" spans="1:9" x14ac:dyDescent="0.35">
      <c r="A8" s="9" t="s">
        <v>9</v>
      </c>
      <c r="B8" s="158">
        <v>7</v>
      </c>
      <c r="C8" s="11">
        <v>6691.92</v>
      </c>
      <c r="D8" s="11">
        <v>4318.16</v>
      </c>
      <c r="E8" s="11">
        <v>1293.95</v>
      </c>
      <c r="F8" s="11">
        <v>1695.39</v>
      </c>
      <c r="G8" s="11">
        <v>1074.48</v>
      </c>
      <c r="H8" s="13">
        <v>794.04</v>
      </c>
    </row>
    <row r="9" spans="1:9" x14ac:dyDescent="0.35">
      <c r="A9" s="9" t="s">
        <v>10</v>
      </c>
      <c r="B9" s="158" t="s">
        <v>11</v>
      </c>
      <c r="C9" s="158" t="s">
        <v>12</v>
      </c>
      <c r="D9" s="10">
        <v>477.46</v>
      </c>
      <c r="E9" s="10">
        <v>269.24</v>
      </c>
      <c r="F9" s="158" t="s">
        <v>12</v>
      </c>
      <c r="G9" s="158" t="s">
        <v>12</v>
      </c>
      <c r="H9" s="13">
        <v>93.22</v>
      </c>
    </row>
    <row r="10" spans="1:9" x14ac:dyDescent="0.35">
      <c r="A10" s="9" t="s">
        <v>13</v>
      </c>
      <c r="B10" s="158"/>
      <c r="C10" s="7"/>
      <c r="D10" s="7"/>
      <c r="E10" s="7"/>
      <c r="F10" s="7"/>
      <c r="G10" s="7"/>
      <c r="H10" s="8"/>
    </row>
    <row r="11" spans="1:9" x14ac:dyDescent="0.35">
      <c r="A11" s="9" t="s">
        <v>14</v>
      </c>
      <c r="B11" s="158">
        <v>8</v>
      </c>
      <c r="C11" s="11">
        <v>4237.7700000000004</v>
      </c>
      <c r="D11" s="11">
        <v>4971.41</v>
      </c>
      <c r="E11" s="11">
        <v>3847.61</v>
      </c>
      <c r="F11" s="11">
        <v>3778.01</v>
      </c>
      <c r="G11" s="11">
        <v>3114.28</v>
      </c>
      <c r="H11" s="12">
        <v>3478.7</v>
      </c>
    </row>
    <row r="12" spans="1:9" x14ac:dyDescent="0.35">
      <c r="A12" s="9" t="s">
        <v>15</v>
      </c>
      <c r="B12" s="158">
        <v>13</v>
      </c>
      <c r="C12" s="11">
        <v>3196.76</v>
      </c>
      <c r="D12" s="11">
        <v>2771.84</v>
      </c>
      <c r="E12" s="11">
        <v>1333.66</v>
      </c>
      <c r="F12" s="158" t="s">
        <v>12</v>
      </c>
      <c r="G12" s="158" t="s">
        <v>12</v>
      </c>
      <c r="H12" s="159" t="s">
        <v>12</v>
      </c>
    </row>
    <row r="13" spans="1:9" x14ac:dyDescent="0.35">
      <c r="A13" s="9" t="s">
        <v>16</v>
      </c>
      <c r="B13" s="158">
        <v>9</v>
      </c>
      <c r="C13" s="158" t="s">
        <v>12</v>
      </c>
      <c r="D13" s="158" t="s">
        <v>12</v>
      </c>
      <c r="E13" s="158" t="s">
        <v>12</v>
      </c>
      <c r="F13" s="158" t="s">
        <v>12</v>
      </c>
      <c r="G13" s="10">
        <v>547.16999999999996</v>
      </c>
      <c r="H13" s="13">
        <v>640.67999999999995</v>
      </c>
    </row>
    <row r="14" spans="1:9" x14ac:dyDescent="0.35">
      <c r="A14" s="9" t="s">
        <v>17</v>
      </c>
      <c r="B14" s="158">
        <v>10</v>
      </c>
      <c r="C14" s="11">
        <v>1752.33</v>
      </c>
      <c r="D14" s="10">
        <v>710.95</v>
      </c>
      <c r="E14" s="10">
        <v>717.61</v>
      </c>
      <c r="F14" s="10">
        <v>998.46</v>
      </c>
      <c r="G14" s="10">
        <v>928.75</v>
      </c>
      <c r="H14" s="13">
        <v>164.71</v>
      </c>
    </row>
    <row r="15" spans="1:9" x14ac:dyDescent="0.35">
      <c r="A15" s="9" t="s">
        <v>18</v>
      </c>
      <c r="B15" s="158" t="s">
        <v>19</v>
      </c>
      <c r="C15" s="11">
        <v>3246.1</v>
      </c>
      <c r="D15" s="11">
        <v>2856.51</v>
      </c>
      <c r="E15" s="11">
        <v>2422.4</v>
      </c>
      <c r="F15" s="11">
        <v>1616.11</v>
      </c>
      <c r="G15" s="11">
        <v>1260.72</v>
      </c>
      <c r="H15" s="12">
        <v>2157.46</v>
      </c>
    </row>
    <row r="16" spans="1:9" x14ac:dyDescent="0.35">
      <c r="A16" s="9" t="s">
        <v>20</v>
      </c>
      <c r="B16" s="158" t="s">
        <v>19</v>
      </c>
      <c r="C16" s="11">
        <v>7966.91</v>
      </c>
      <c r="D16" s="11">
        <v>6419.52</v>
      </c>
      <c r="E16" s="11">
        <v>5817.43</v>
      </c>
      <c r="F16" s="11">
        <v>5309.34</v>
      </c>
      <c r="G16" s="11">
        <v>5496.4</v>
      </c>
      <c r="H16" s="12">
        <v>4882.58</v>
      </c>
    </row>
    <row r="17" spans="1:8" x14ac:dyDescent="0.35">
      <c r="A17" s="9" t="s">
        <v>21</v>
      </c>
      <c r="B17" s="158">
        <v>11</v>
      </c>
      <c r="C17" s="14">
        <v>988.6</v>
      </c>
      <c r="D17" s="15">
        <v>1307.42</v>
      </c>
      <c r="E17" s="15">
        <v>1503.83</v>
      </c>
      <c r="F17" s="14">
        <v>849.66</v>
      </c>
      <c r="G17" s="15">
        <v>1013.12</v>
      </c>
      <c r="H17" s="16">
        <v>1778.27</v>
      </c>
    </row>
    <row r="18" spans="1:8" ht="15" customHeight="1" x14ac:dyDescent="0.35">
      <c r="A18" s="6" t="s">
        <v>22</v>
      </c>
      <c r="B18" s="158"/>
      <c r="C18" s="17">
        <v>79205.09</v>
      </c>
      <c r="D18" s="17">
        <v>74978.31</v>
      </c>
      <c r="E18" s="17">
        <v>56564.34</v>
      </c>
      <c r="F18" s="17">
        <v>50397.72</v>
      </c>
      <c r="G18" s="17">
        <v>42586.83</v>
      </c>
      <c r="H18" s="18">
        <v>43404.35</v>
      </c>
    </row>
    <row r="19" spans="1:8" ht="15" customHeight="1" x14ac:dyDescent="0.35">
      <c r="A19" s="9"/>
      <c r="B19" s="158"/>
      <c r="C19" s="4"/>
      <c r="D19" s="4"/>
      <c r="E19" s="4"/>
      <c r="F19" s="4"/>
      <c r="G19" s="4"/>
      <c r="H19" s="5"/>
    </row>
    <row r="20" spans="1:8" x14ac:dyDescent="0.35">
      <c r="A20" s="9" t="s">
        <v>23</v>
      </c>
      <c r="B20" s="158"/>
      <c r="C20" s="7"/>
      <c r="D20" s="7"/>
      <c r="E20" s="7"/>
      <c r="F20" s="7"/>
      <c r="G20" s="7"/>
      <c r="H20" s="8"/>
    </row>
    <row r="21" spans="1:8" x14ac:dyDescent="0.35">
      <c r="A21" s="9" t="s">
        <v>13</v>
      </c>
      <c r="B21" s="158"/>
      <c r="C21" s="7"/>
      <c r="D21" s="7"/>
      <c r="E21" s="7"/>
      <c r="F21" s="7"/>
      <c r="G21" s="7"/>
      <c r="H21" s="8"/>
    </row>
    <row r="22" spans="1:8" x14ac:dyDescent="0.35">
      <c r="A22" s="9" t="s">
        <v>14</v>
      </c>
      <c r="B22" s="158">
        <v>12</v>
      </c>
      <c r="C22" s="11">
        <v>17844.25</v>
      </c>
      <c r="D22" s="11">
        <v>25927.7</v>
      </c>
      <c r="E22" s="11">
        <v>13678.81</v>
      </c>
      <c r="F22" s="11">
        <v>14352.11</v>
      </c>
      <c r="G22" s="11">
        <v>15345.9</v>
      </c>
      <c r="H22" s="12">
        <v>9777.7999999999993</v>
      </c>
    </row>
    <row r="23" spans="1:8" x14ac:dyDescent="0.35">
      <c r="A23" s="9" t="s">
        <v>15</v>
      </c>
      <c r="B23" s="158">
        <v>13</v>
      </c>
      <c r="C23" s="11">
        <v>28407.25</v>
      </c>
      <c r="D23" s="11">
        <v>24255.63</v>
      </c>
      <c r="E23" s="11">
        <v>25206.32</v>
      </c>
      <c r="F23" s="158" t="s">
        <v>12</v>
      </c>
      <c r="G23" s="158" t="s">
        <v>12</v>
      </c>
      <c r="H23" s="12">
        <v>8352.52</v>
      </c>
    </row>
    <row r="24" spans="1:8" x14ac:dyDescent="0.35">
      <c r="A24" s="9" t="s">
        <v>192</v>
      </c>
      <c r="B24" s="158"/>
      <c r="C24" s="158" t="s">
        <v>12</v>
      </c>
      <c r="D24" s="158" t="s">
        <v>12</v>
      </c>
      <c r="E24" s="158" t="s">
        <v>12</v>
      </c>
      <c r="F24" s="11">
        <v>9681.48</v>
      </c>
      <c r="G24" s="11">
        <v>9294.82</v>
      </c>
      <c r="H24" s="158" t="s">
        <v>12</v>
      </c>
    </row>
    <row r="25" spans="1:8" x14ac:dyDescent="0.35">
      <c r="A25" s="6" t="s">
        <v>191</v>
      </c>
      <c r="B25" s="158"/>
      <c r="C25" s="158" t="s">
        <v>12</v>
      </c>
      <c r="D25" s="158" t="s">
        <v>12</v>
      </c>
      <c r="E25" s="158" t="s">
        <v>12</v>
      </c>
      <c r="F25" s="158">
        <v>12587.88</v>
      </c>
      <c r="G25" s="11">
        <v>9210.0499999999993</v>
      </c>
      <c r="H25" s="12">
        <v>9343.02</v>
      </c>
    </row>
    <row r="26" spans="1:8" x14ac:dyDescent="0.35">
      <c r="A26" s="9" t="s">
        <v>24</v>
      </c>
      <c r="B26" s="158">
        <v>14</v>
      </c>
      <c r="C26" s="11">
        <v>9863.4500000000007</v>
      </c>
      <c r="D26" s="11">
        <v>8049.14</v>
      </c>
      <c r="E26" s="11">
        <v>10441.129999999999</v>
      </c>
      <c r="F26" s="11">
        <v>8268.4699999999993</v>
      </c>
      <c r="G26" s="11">
        <v>7711.44</v>
      </c>
      <c r="H26" s="12">
        <v>9880.01</v>
      </c>
    </row>
    <row r="27" spans="1:8" x14ac:dyDescent="0.35">
      <c r="A27" s="9" t="s">
        <v>25</v>
      </c>
      <c r="B27" s="158">
        <v>15</v>
      </c>
      <c r="C27" s="11">
        <v>6262.35</v>
      </c>
      <c r="D27" s="10">
        <v>94.51</v>
      </c>
      <c r="E27" s="10">
        <v>93.31</v>
      </c>
      <c r="F27" s="11">
        <v>1225.9000000000001</v>
      </c>
      <c r="G27" s="11">
        <v>2910.98</v>
      </c>
      <c r="H27" s="12">
        <v>1377.02</v>
      </c>
    </row>
    <row r="28" spans="1:8" x14ac:dyDescent="0.35">
      <c r="A28" s="9" t="s">
        <v>26</v>
      </c>
      <c r="B28" s="158">
        <v>9</v>
      </c>
      <c r="C28" s="10">
        <v>385.56</v>
      </c>
      <c r="D28" s="10">
        <v>341.97</v>
      </c>
      <c r="E28" s="10">
        <v>287.54000000000002</v>
      </c>
      <c r="F28" s="10">
        <v>318.20999999999998</v>
      </c>
      <c r="G28" s="11">
        <v>1468.93</v>
      </c>
      <c r="H28" s="12">
        <v>1409.11</v>
      </c>
    </row>
    <row r="29" spans="1:8" x14ac:dyDescent="0.35">
      <c r="A29" s="9" t="s">
        <v>27</v>
      </c>
      <c r="B29" s="158">
        <v>10</v>
      </c>
      <c r="C29" s="11">
        <v>1600.39</v>
      </c>
      <c r="D29" s="11">
        <v>1715.29</v>
      </c>
      <c r="E29" s="11">
        <v>1435.35</v>
      </c>
      <c r="F29" s="11">
        <v>2644.56</v>
      </c>
      <c r="G29" s="11">
        <v>1280.74</v>
      </c>
      <c r="H29" s="13">
        <v>548.04999999999995</v>
      </c>
    </row>
    <row r="30" spans="1:8" x14ac:dyDescent="0.35">
      <c r="A30" s="9" t="s">
        <v>21</v>
      </c>
      <c r="B30" s="158">
        <v>11</v>
      </c>
      <c r="C30" s="15">
        <v>5497.95</v>
      </c>
      <c r="D30" s="15">
        <v>5939.83</v>
      </c>
      <c r="E30" s="15">
        <v>8387.7900000000009</v>
      </c>
      <c r="F30" s="15">
        <v>8085.11</v>
      </c>
      <c r="G30" s="15">
        <v>4179.79</v>
      </c>
      <c r="H30" s="16">
        <v>3443.03</v>
      </c>
    </row>
    <row r="31" spans="1:8" ht="15" customHeight="1" x14ac:dyDescent="0.35">
      <c r="A31" s="6" t="s">
        <v>28</v>
      </c>
      <c r="B31" s="158"/>
      <c r="C31" s="17">
        <v>69861.2</v>
      </c>
      <c r="D31" s="17">
        <v>66324.070000000007</v>
      </c>
      <c r="E31" s="17">
        <v>59530.25</v>
      </c>
      <c r="F31" s="17">
        <v>57163.72</v>
      </c>
      <c r="G31" s="17">
        <v>51402.65</v>
      </c>
      <c r="H31" s="18">
        <v>44130.559999999998</v>
      </c>
    </row>
    <row r="32" spans="1:8" ht="15" customHeight="1" x14ac:dyDescent="0.35">
      <c r="A32" s="19" t="s">
        <v>29</v>
      </c>
      <c r="B32" s="160"/>
      <c r="C32" s="20">
        <v>149066.29</v>
      </c>
      <c r="D32" s="20">
        <v>141302.38</v>
      </c>
      <c r="E32" s="20">
        <v>116094.59</v>
      </c>
      <c r="F32" s="20">
        <v>107561.44</v>
      </c>
      <c r="G32" s="20">
        <v>93989.48</v>
      </c>
      <c r="H32" s="21">
        <v>87534.91</v>
      </c>
    </row>
    <row r="33" spans="1:8" ht="15" customHeight="1" x14ac:dyDescent="0.35">
      <c r="A33" s="9" t="s">
        <v>30</v>
      </c>
      <c r="B33" s="158" t="s">
        <v>30</v>
      </c>
      <c r="C33" s="156" t="s">
        <v>30</v>
      </c>
      <c r="D33" s="156" t="s">
        <v>30</v>
      </c>
      <c r="E33" s="156" t="s">
        <v>30</v>
      </c>
      <c r="F33" s="156" t="s">
        <v>30</v>
      </c>
      <c r="G33" s="156" t="s">
        <v>30</v>
      </c>
      <c r="H33" s="157" t="s">
        <v>30</v>
      </c>
    </row>
    <row r="34" spans="1:8" x14ac:dyDescent="0.35">
      <c r="A34" s="22" t="s">
        <v>31</v>
      </c>
      <c r="B34" s="158"/>
      <c r="C34" s="7"/>
      <c r="D34" s="7"/>
      <c r="E34" s="7"/>
      <c r="F34" s="7"/>
      <c r="G34" s="7"/>
      <c r="H34" s="8"/>
    </row>
    <row r="35" spans="1:8" x14ac:dyDescent="0.35">
      <c r="A35" s="19" t="s">
        <v>32</v>
      </c>
      <c r="B35" s="158"/>
      <c r="C35" s="7"/>
      <c r="D35" s="7"/>
      <c r="E35" s="7"/>
      <c r="F35" s="7"/>
      <c r="G35" s="7"/>
      <c r="H35" s="8"/>
    </row>
    <row r="36" spans="1:8" x14ac:dyDescent="0.35">
      <c r="A36" s="9" t="s">
        <v>33</v>
      </c>
      <c r="B36" s="158">
        <v>16</v>
      </c>
      <c r="C36" s="11">
        <v>1900.84</v>
      </c>
      <c r="D36" s="11">
        <v>1890.05</v>
      </c>
      <c r="E36" s="11">
        <v>1884.07</v>
      </c>
      <c r="F36" s="11">
        <v>1878.25</v>
      </c>
      <c r="G36" s="11">
        <v>1870.49</v>
      </c>
      <c r="H36" s="12">
        <v>1865.43</v>
      </c>
    </row>
    <row r="37" spans="1:8" x14ac:dyDescent="0.35">
      <c r="A37" s="9" t="s">
        <v>34</v>
      </c>
      <c r="B37" s="158">
        <v>17</v>
      </c>
      <c r="C37" s="15">
        <v>94383.12</v>
      </c>
      <c r="D37" s="15">
        <v>86055.95</v>
      </c>
      <c r="E37" s="15">
        <v>77464.320000000007</v>
      </c>
      <c r="F37" s="15">
        <v>67553.06</v>
      </c>
      <c r="G37" s="15">
        <v>63396.61</v>
      </c>
      <c r="H37" s="16">
        <v>56430.559999999998</v>
      </c>
    </row>
    <row r="38" spans="1:8" ht="15" customHeight="1" x14ac:dyDescent="0.35">
      <c r="A38" s="23" t="s">
        <v>35</v>
      </c>
      <c r="B38" s="161"/>
      <c r="C38" s="24">
        <v>96283.96</v>
      </c>
      <c r="D38" s="24">
        <v>87946</v>
      </c>
      <c r="E38" s="24">
        <v>79348.39</v>
      </c>
      <c r="F38" s="24">
        <v>69431.31</v>
      </c>
      <c r="G38" s="24">
        <v>65267.1</v>
      </c>
      <c r="H38" s="25">
        <v>58295.99</v>
      </c>
    </row>
    <row r="39" spans="1:8" x14ac:dyDescent="0.35">
      <c r="A39" s="4"/>
      <c r="B39" s="156"/>
      <c r="C39" s="4"/>
      <c r="D39" s="4"/>
      <c r="E39" s="4"/>
      <c r="F39" s="4"/>
      <c r="G39" s="4"/>
      <c r="H39" s="4"/>
    </row>
    <row r="40" spans="1:8" x14ac:dyDescent="0.35">
      <c r="A40" s="26" t="s">
        <v>36</v>
      </c>
      <c r="B40" s="158"/>
      <c r="C40" s="7"/>
      <c r="D40" s="7"/>
      <c r="E40" s="7"/>
      <c r="F40" s="7"/>
      <c r="G40" s="7"/>
      <c r="H40" s="7"/>
    </row>
    <row r="41" spans="1:8" x14ac:dyDescent="0.35">
      <c r="A41" s="7" t="s">
        <v>37</v>
      </c>
      <c r="B41" s="158"/>
      <c r="C41" s="11">
        <v>5839.58</v>
      </c>
      <c r="D41" s="11">
        <v>6750.16</v>
      </c>
      <c r="E41" s="11">
        <v>6815.82</v>
      </c>
      <c r="F41" s="11">
        <v>5840.48</v>
      </c>
      <c r="G41" s="11">
        <v>5370.38</v>
      </c>
      <c r="H41" s="11">
        <v>5844.4</v>
      </c>
    </row>
    <row r="42" spans="1:8" x14ac:dyDescent="0.35">
      <c r="A42" s="7" t="s">
        <v>38</v>
      </c>
      <c r="B42" s="158">
        <v>18</v>
      </c>
      <c r="C42" s="10">
        <v>305.16000000000003</v>
      </c>
      <c r="D42" s="11">
        <v>2422.9899999999998</v>
      </c>
      <c r="E42" s="10">
        <v>329.03</v>
      </c>
      <c r="F42" s="11">
        <v>1059.52</v>
      </c>
      <c r="G42" s="10">
        <v>39.69</v>
      </c>
      <c r="H42" s="10">
        <v>630.82000000000005</v>
      </c>
    </row>
    <row r="43" spans="1:8" x14ac:dyDescent="0.35">
      <c r="A43" s="7" t="s">
        <v>39</v>
      </c>
      <c r="B43" s="158">
        <v>19</v>
      </c>
      <c r="C43" s="10">
        <v>527.46</v>
      </c>
      <c r="D43" s="10">
        <v>687.8</v>
      </c>
      <c r="E43" s="10">
        <v>375.83</v>
      </c>
      <c r="F43" s="11">
        <v>1183.82</v>
      </c>
      <c r="G43" s="10">
        <v>727.68</v>
      </c>
      <c r="H43" s="10">
        <v>697.9</v>
      </c>
    </row>
    <row r="44" spans="1:8" x14ac:dyDescent="0.35">
      <c r="A44" s="7" t="s">
        <v>40</v>
      </c>
      <c r="B44" s="158" t="s">
        <v>19</v>
      </c>
      <c r="C44" s="11">
        <v>1623.03</v>
      </c>
      <c r="D44" s="11">
        <v>1299.1199999999999</v>
      </c>
      <c r="E44" s="11">
        <v>1029.6099999999999</v>
      </c>
      <c r="F44" s="10">
        <v>718.22</v>
      </c>
      <c r="G44" s="10">
        <v>342.86</v>
      </c>
      <c r="H44" s="10">
        <v>137.32</v>
      </c>
    </row>
    <row r="45" spans="1:8" x14ac:dyDescent="0.35">
      <c r="A45" s="7" t="s">
        <v>41</v>
      </c>
      <c r="B45" s="158" t="s">
        <v>19</v>
      </c>
      <c r="C45" s="7" t="s">
        <v>12</v>
      </c>
      <c r="D45" s="10">
        <v>150.08000000000001</v>
      </c>
      <c r="E45" s="10">
        <v>217.55</v>
      </c>
      <c r="F45" s="10">
        <v>227.89</v>
      </c>
      <c r="G45" s="10">
        <v>242.25</v>
      </c>
      <c r="H45" s="10">
        <v>256.81</v>
      </c>
    </row>
    <row r="46" spans="1:8" x14ac:dyDescent="0.35">
      <c r="A46" s="7" t="s">
        <v>42</v>
      </c>
      <c r="B46" s="158">
        <v>20</v>
      </c>
      <c r="C46" s="27" t="s">
        <v>12</v>
      </c>
      <c r="D46" s="27" t="s">
        <v>12</v>
      </c>
      <c r="E46" s="27" t="s">
        <v>12</v>
      </c>
      <c r="F46" s="27" t="s">
        <v>12</v>
      </c>
      <c r="G46" s="14">
        <v>562.53</v>
      </c>
      <c r="H46" s="27" t="s">
        <v>12</v>
      </c>
    </row>
    <row r="47" spans="1:8" ht="15" customHeight="1" x14ac:dyDescent="0.35">
      <c r="A47" s="26" t="s">
        <v>43</v>
      </c>
      <c r="B47" s="158"/>
      <c r="C47" s="17">
        <v>8295.23</v>
      </c>
      <c r="D47" s="17">
        <v>11310.15</v>
      </c>
      <c r="E47" s="17">
        <v>8767.84</v>
      </c>
      <c r="F47" s="17">
        <v>9029.93</v>
      </c>
      <c r="G47" s="17">
        <v>7285.39</v>
      </c>
      <c r="H47" s="17">
        <v>7567.25</v>
      </c>
    </row>
    <row r="48" spans="1:8" ht="15" customHeight="1" x14ac:dyDescent="0.35">
      <c r="A48" s="7"/>
      <c r="B48" s="158"/>
      <c r="C48" s="4"/>
      <c r="D48" s="4"/>
      <c r="E48" s="4"/>
      <c r="F48" s="4"/>
      <c r="G48" s="4"/>
      <c r="H48" s="4"/>
    </row>
    <row r="49" spans="1:8" x14ac:dyDescent="0.35">
      <c r="A49" s="26" t="s">
        <v>44</v>
      </c>
      <c r="B49" s="158"/>
      <c r="C49" s="7"/>
      <c r="D49" s="7"/>
      <c r="E49" s="7"/>
      <c r="F49" s="7"/>
      <c r="G49" s="7"/>
      <c r="H49" s="7"/>
    </row>
    <row r="50" spans="1:8" x14ac:dyDescent="0.35">
      <c r="A50" s="7" t="s">
        <v>45</v>
      </c>
      <c r="B50" s="158">
        <v>21</v>
      </c>
      <c r="C50" s="11">
        <v>11159.43</v>
      </c>
      <c r="D50" s="11">
        <v>15435.67</v>
      </c>
      <c r="E50" s="11">
        <v>1984.76</v>
      </c>
      <c r="F50" s="11">
        <v>5272.42</v>
      </c>
      <c r="G50" s="11">
        <v>5134.5</v>
      </c>
      <c r="H50" s="11">
        <v>5712.85</v>
      </c>
    </row>
    <row r="51" spans="1:8" x14ac:dyDescent="0.35">
      <c r="A51" s="7" t="s">
        <v>37</v>
      </c>
      <c r="B51" s="158"/>
      <c r="C51" s="11">
        <v>1883.22</v>
      </c>
      <c r="D51" s="11">
        <v>1700.02</v>
      </c>
      <c r="E51" s="11">
        <v>1727.08</v>
      </c>
      <c r="F51" s="11">
        <v>1406.42</v>
      </c>
      <c r="G51" s="11">
        <v>1306.1400000000001</v>
      </c>
      <c r="H51" s="11">
        <v>1396.6</v>
      </c>
    </row>
    <row r="52" spans="1:8" x14ac:dyDescent="0.35">
      <c r="A52" s="7" t="s">
        <v>46</v>
      </c>
      <c r="B52" s="158">
        <v>22</v>
      </c>
      <c r="C52" s="11">
        <v>9784.67</v>
      </c>
      <c r="D52" s="11">
        <v>7983.13</v>
      </c>
      <c r="E52" s="11">
        <v>8640.15</v>
      </c>
      <c r="F52" s="11">
        <v>8495.92</v>
      </c>
      <c r="G52" s="11">
        <v>5963.96</v>
      </c>
      <c r="H52" s="11">
        <v>6666.81</v>
      </c>
    </row>
    <row r="53" spans="1:8" x14ac:dyDescent="0.35">
      <c r="A53" s="7" t="s">
        <v>38</v>
      </c>
      <c r="B53" s="158">
        <v>18</v>
      </c>
      <c r="C53" s="11">
        <v>13189.28</v>
      </c>
      <c r="D53" s="11">
        <v>8321.19</v>
      </c>
      <c r="E53" s="11">
        <v>8562.8799999999992</v>
      </c>
      <c r="F53" s="11">
        <v>6131.36</v>
      </c>
      <c r="G53" s="11">
        <v>3241.49</v>
      </c>
      <c r="H53" s="11">
        <v>4162.71</v>
      </c>
    </row>
    <row r="54" spans="1:8" x14ac:dyDescent="0.35">
      <c r="A54" s="7" t="s">
        <v>42</v>
      </c>
      <c r="B54" s="158">
        <v>20</v>
      </c>
      <c r="C54" s="11">
        <v>2624.38</v>
      </c>
      <c r="D54" s="11">
        <v>3079.59</v>
      </c>
      <c r="E54" s="11">
        <v>2431.85</v>
      </c>
      <c r="F54" s="11">
        <v>2961.69</v>
      </c>
      <c r="G54" s="11">
        <v>2770.22</v>
      </c>
      <c r="H54" s="11">
        <v>2377.29</v>
      </c>
    </row>
    <row r="55" spans="1:8" x14ac:dyDescent="0.35">
      <c r="A55" s="7" t="s">
        <v>39</v>
      </c>
      <c r="B55" s="158" t="s">
        <v>47</v>
      </c>
      <c r="C55" s="11">
        <v>3107.87</v>
      </c>
      <c r="D55" s="11">
        <v>2792.31</v>
      </c>
      <c r="E55" s="11">
        <v>3731.22</v>
      </c>
      <c r="F55" s="11">
        <v>2272</v>
      </c>
      <c r="G55" s="11">
        <v>1467.1</v>
      </c>
      <c r="H55" s="10">
        <v>788.76</v>
      </c>
    </row>
    <row r="56" spans="1:8" x14ac:dyDescent="0.35">
      <c r="A56" s="7" t="s">
        <v>48</v>
      </c>
      <c r="B56" s="158" t="s">
        <v>19</v>
      </c>
      <c r="C56" s="15">
        <v>2738.25</v>
      </c>
      <c r="D56" s="15">
        <v>2734.32</v>
      </c>
      <c r="E56" s="15">
        <v>2210.92</v>
      </c>
      <c r="F56" s="15">
        <v>2560.39</v>
      </c>
      <c r="G56" s="15">
        <v>1553.58</v>
      </c>
      <c r="H56" s="14">
        <v>566.65</v>
      </c>
    </row>
    <row r="57" spans="1:8" ht="15" customHeight="1" x14ac:dyDescent="0.35">
      <c r="A57" s="26" t="s">
        <v>49</v>
      </c>
      <c r="B57" s="158"/>
      <c r="C57" s="17">
        <v>44487.1</v>
      </c>
      <c r="D57" s="17">
        <v>42046.23</v>
      </c>
      <c r="E57" s="17">
        <v>27978.36</v>
      </c>
      <c r="F57" s="17">
        <v>29100.2</v>
      </c>
      <c r="G57" s="17">
        <v>21436.99</v>
      </c>
      <c r="H57" s="17">
        <v>21671.67</v>
      </c>
    </row>
    <row r="58" spans="1:8" ht="15" customHeight="1" x14ac:dyDescent="0.35">
      <c r="A58" s="28" t="s">
        <v>50</v>
      </c>
      <c r="B58" s="160"/>
      <c r="C58" s="20">
        <v>149066.29</v>
      </c>
      <c r="D58" s="20">
        <v>141302.38</v>
      </c>
      <c r="E58" s="20">
        <v>116094.59</v>
      </c>
      <c r="F58" s="20">
        <v>107561.44</v>
      </c>
      <c r="G58" s="20">
        <v>93989.48</v>
      </c>
      <c r="H58" s="20">
        <v>87534.91</v>
      </c>
    </row>
    <row r="59" spans="1:8" ht="15" customHeight="1" x14ac:dyDescent="0.35"/>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39997558519241921"/>
  </sheetPr>
  <dimension ref="A1:H29"/>
  <sheetViews>
    <sheetView topLeftCell="A43" zoomScaleNormal="100" workbookViewId="0">
      <selection activeCell="A16" sqref="A16"/>
    </sheetView>
  </sheetViews>
  <sheetFormatPr defaultColWidth="8.54296875" defaultRowHeight="14.5" x14ac:dyDescent="0.35"/>
  <cols>
    <col min="1" max="1" width="29.1796875" customWidth="1"/>
    <col min="2" max="7" width="11.08984375" bestFit="1" customWidth="1"/>
  </cols>
  <sheetData>
    <row r="1" spans="1:8" ht="28.5" customHeight="1" x14ac:dyDescent="0.35">
      <c r="A1" s="100" t="s">
        <v>0</v>
      </c>
      <c r="B1" s="102">
        <v>45747</v>
      </c>
      <c r="C1" s="102">
        <v>45382</v>
      </c>
      <c r="D1" s="102">
        <v>45016</v>
      </c>
      <c r="E1" s="102">
        <v>44651</v>
      </c>
      <c r="F1" s="102">
        <v>44286</v>
      </c>
      <c r="G1" s="103">
        <v>43921</v>
      </c>
      <c r="H1" s="2" t="s">
        <v>2</v>
      </c>
    </row>
    <row r="2" spans="1:8" x14ac:dyDescent="0.35">
      <c r="A2" s="3" t="s">
        <v>51</v>
      </c>
      <c r="B2" s="4"/>
      <c r="C2" s="4"/>
      <c r="D2" s="4"/>
      <c r="E2" s="4"/>
      <c r="F2" s="4"/>
      <c r="G2" s="5"/>
    </row>
    <row r="3" spans="1:8" x14ac:dyDescent="0.35">
      <c r="A3" s="9" t="s">
        <v>52</v>
      </c>
      <c r="B3" s="11">
        <v>142299.87</v>
      </c>
      <c r="C3" s="11">
        <v>132785.15</v>
      </c>
      <c r="D3" s="11">
        <v>137984.97</v>
      </c>
      <c r="E3" s="11">
        <v>119614.44</v>
      </c>
      <c r="F3" s="11">
        <v>97223.11</v>
      </c>
      <c r="G3" s="12">
        <v>88435.37</v>
      </c>
    </row>
    <row r="4" spans="1:8" x14ac:dyDescent="0.35">
      <c r="A4" s="9" t="s">
        <v>53</v>
      </c>
      <c r="B4" s="15">
        <v>2550.0100000000002</v>
      </c>
      <c r="C4" s="15">
        <v>2178.04</v>
      </c>
      <c r="D4" s="15">
        <v>1615.99</v>
      </c>
      <c r="E4" s="15">
        <v>1604.5</v>
      </c>
      <c r="F4" s="15">
        <v>1329.45</v>
      </c>
      <c r="G4" s="16">
        <v>1778.2</v>
      </c>
    </row>
    <row r="5" spans="1:8" ht="15" customHeight="1" x14ac:dyDescent="0.35">
      <c r="A5" s="9" t="s">
        <v>54</v>
      </c>
      <c r="B5" s="17">
        <v>144849.88</v>
      </c>
      <c r="C5" s="17">
        <v>134963.19</v>
      </c>
      <c r="D5" s="17">
        <v>139600.95999999999</v>
      </c>
      <c r="E5" s="17">
        <v>121218.94</v>
      </c>
      <c r="F5" s="17">
        <v>98552.56</v>
      </c>
      <c r="G5" s="18">
        <v>90213.57</v>
      </c>
    </row>
    <row r="6" spans="1:8" ht="15" customHeight="1" x14ac:dyDescent="0.35">
      <c r="A6" s="9"/>
      <c r="B6" s="4"/>
      <c r="C6" s="4"/>
      <c r="D6" s="4"/>
      <c r="E6" s="4"/>
      <c r="F6" s="4"/>
      <c r="G6" s="5"/>
    </row>
    <row r="7" spans="1:8" x14ac:dyDescent="0.35">
      <c r="A7" s="29" t="s">
        <v>55</v>
      </c>
      <c r="B7" s="7"/>
      <c r="C7" s="7"/>
      <c r="D7" s="7"/>
      <c r="E7" s="7"/>
      <c r="F7" s="7"/>
      <c r="G7" s="8"/>
    </row>
    <row r="8" spans="1:8" x14ac:dyDescent="0.35">
      <c r="A8" s="9" t="s">
        <v>56</v>
      </c>
      <c r="B8" s="11">
        <v>81446.59</v>
      </c>
      <c r="C8" s="11">
        <v>79253.27</v>
      </c>
      <c r="D8" s="11">
        <v>80757.8</v>
      </c>
      <c r="E8" s="11">
        <v>70345.009999999995</v>
      </c>
      <c r="F8" s="11">
        <v>56297.86</v>
      </c>
      <c r="G8" s="12">
        <v>49226.41</v>
      </c>
    </row>
    <row r="9" spans="1:8" x14ac:dyDescent="0.35">
      <c r="A9" s="9" t="s">
        <v>57</v>
      </c>
      <c r="B9" s="11">
        <v>1655.01</v>
      </c>
      <c r="C9" s="11">
        <v>1608.67</v>
      </c>
      <c r="D9" s="10">
        <v>972.58</v>
      </c>
      <c r="E9" s="10">
        <v>744.03</v>
      </c>
      <c r="F9" s="10">
        <v>634.15</v>
      </c>
      <c r="G9" s="13">
        <v>811.93</v>
      </c>
    </row>
    <row r="10" spans="1:8" x14ac:dyDescent="0.35">
      <c r="A10" s="9" t="s">
        <v>58</v>
      </c>
      <c r="B10" s="11">
        <v>4763.37</v>
      </c>
      <c r="C10" s="11">
        <v>4104.99</v>
      </c>
      <c r="D10" s="11">
        <v>3252.42</v>
      </c>
      <c r="E10" s="11">
        <v>2907.52</v>
      </c>
      <c r="F10" s="11">
        <v>2417.88</v>
      </c>
      <c r="G10" s="12">
        <v>2316.31</v>
      </c>
    </row>
    <row r="11" spans="1:8" x14ac:dyDescent="0.35">
      <c r="A11" s="9" t="s">
        <v>59</v>
      </c>
      <c r="B11" s="15">
        <v>34383.480000000003</v>
      </c>
      <c r="C11" s="15">
        <v>29313.040000000001</v>
      </c>
      <c r="D11" s="15">
        <v>32887.589999999997</v>
      </c>
      <c r="E11" s="15">
        <v>28093.38</v>
      </c>
      <c r="F11" s="15">
        <v>22896.59</v>
      </c>
      <c r="G11" s="16">
        <v>22705.119999999999</v>
      </c>
    </row>
    <row r="12" spans="1:8" ht="15" customHeight="1" x14ac:dyDescent="0.35">
      <c r="A12" s="9" t="s">
        <v>60</v>
      </c>
      <c r="B12" s="17">
        <v>122248.45</v>
      </c>
      <c r="C12" s="17">
        <v>114279.97</v>
      </c>
      <c r="D12" s="17">
        <v>117870.39</v>
      </c>
      <c r="E12" s="17">
        <v>102089.94</v>
      </c>
      <c r="F12" s="17">
        <v>82246.48</v>
      </c>
      <c r="G12" s="18">
        <v>75059.77</v>
      </c>
    </row>
    <row r="13" spans="1:8" ht="15" customHeight="1" x14ac:dyDescent="0.35">
      <c r="A13" s="9"/>
      <c r="B13" s="30"/>
      <c r="C13" s="30"/>
      <c r="D13" s="30"/>
      <c r="E13" s="30"/>
      <c r="F13" s="30"/>
      <c r="G13" s="31"/>
    </row>
    <row r="14" spans="1:8" ht="15" customHeight="1" x14ac:dyDescent="0.35">
      <c r="A14" s="9" t="s">
        <v>61</v>
      </c>
      <c r="B14" s="17">
        <v>22601.43</v>
      </c>
      <c r="C14" s="17">
        <v>20683.22</v>
      </c>
      <c r="D14" s="17">
        <v>21730.57</v>
      </c>
      <c r="E14" s="17">
        <v>19129</v>
      </c>
      <c r="F14" s="17">
        <v>16306.08</v>
      </c>
      <c r="G14" s="18">
        <v>15153.8</v>
      </c>
    </row>
    <row r="15" spans="1:8" ht="15" customHeight="1" x14ac:dyDescent="0.35">
      <c r="A15" s="9"/>
      <c r="B15" s="4"/>
      <c r="C15" s="4"/>
      <c r="D15" s="4"/>
      <c r="E15" s="4"/>
      <c r="F15" s="4"/>
      <c r="G15" s="5"/>
    </row>
    <row r="16" spans="1:8" x14ac:dyDescent="0.35">
      <c r="A16" s="9" t="s">
        <v>62</v>
      </c>
      <c r="B16" s="7"/>
      <c r="C16" s="7"/>
      <c r="D16" s="7"/>
      <c r="E16" s="7"/>
      <c r="F16" s="7"/>
      <c r="G16" s="8"/>
    </row>
    <row r="17" spans="1:7" x14ac:dyDescent="0.35">
      <c r="A17" s="9" t="s">
        <v>63</v>
      </c>
      <c r="B17" s="11">
        <v>5535.16</v>
      </c>
      <c r="C17" s="11">
        <v>5775.9</v>
      </c>
      <c r="D17" s="11">
        <v>5078.68</v>
      </c>
      <c r="E17" s="11">
        <v>4859.6499999999996</v>
      </c>
      <c r="F17" s="11">
        <v>4094.3</v>
      </c>
      <c r="G17" s="12">
        <v>3495.35</v>
      </c>
    </row>
    <row r="18" spans="1:7" x14ac:dyDescent="0.35">
      <c r="A18" s="9" t="s">
        <v>64</v>
      </c>
      <c r="B18" s="14">
        <v>44.88</v>
      </c>
      <c r="C18" s="14">
        <v>-640.88</v>
      </c>
      <c r="D18" s="14">
        <v>272.67</v>
      </c>
      <c r="E18" s="14">
        <v>-39.54</v>
      </c>
      <c r="F18" s="14">
        <v>43.73</v>
      </c>
      <c r="G18" s="32">
        <v>-189.92</v>
      </c>
    </row>
    <row r="19" spans="1:7" ht="15" customHeight="1" x14ac:dyDescent="0.35">
      <c r="A19" s="9" t="s">
        <v>65</v>
      </c>
      <c r="B19" s="17">
        <v>5580.04</v>
      </c>
      <c r="C19" s="17">
        <v>5135.0200000000004</v>
      </c>
      <c r="D19" s="17">
        <v>5351.35</v>
      </c>
      <c r="E19" s="17">
        <v>4820.1099999999997</v>
      </c>
      <c r="F19" s="17">
        <v>4138.03</v>
      </c>
      <c r="G19" s="18">
        <v>3305.43</v>
      </c>
    </row>
    <row r="20" spans="1:7" ht="15" customHeight="1" x14ac:dyDescent="0.35">
      <c r="A20" s="9"/>
      <c r="B20" s="4"/>
      <c r="C20" s="4"/>
      <c r="D20" s="4"/>
      <c r="E20" s="4"/>
      <c r="F20" s="4"/>
      <c r="G20" s="5"/>
    </row>
    <row r="21" spans="1:7" x14ac:dyDescent="0.35">
      <c r="A21" s="9" t="s">
        <v>66</v>
      </c>
      <c r="B21" s="11">
        <v>17021.39</v>
      </c>
      <c r="C21" s="11">
        <v>15548.2</v>
      </c>
      <c r="D21" s="11">
        <v>16379.22</v>
      </c>
      <c r="E21" s="11">
        <v>14308.89</v>
      </c>
      <c r="F21" s="11">
        <v>12168.05</v>
      </c>
      <c r="G21" s="12">
        <v>11848.37</v>
      </c>
    </row>
    <row r="22" spans="1:7" x14ac:dyDescent="0.35">
      <c r="A22" s="9"/>
      <c r="B22" s="7"/>
      <c r="C22" s="7"/>
      <c r="D22" s="7"/>
      <c r="E22" s="7"/>
      <c r="F22" s="7"/>
      <c r="G22" s="8"/>
    </row>
    <row r="23" spans="1:7" x14ac:dyDescent="0.35">
      <c r="A23" s="9" t="s">
        <v>67</v>
      </c>
      <c r="B23" s="10">
        <v>570.48</v>
      </c>
      <c r="C23" s="11">
        <v>1295.29</v>
      </c>
      <c r="D23" s="10">
        <v>630.26</v>
      </c>
      <c r="E23" s="10">
        <v>937.29</v>
      </c>
      <c r="F23" s="10">
        <v>962.72</v>
      </c>
      <c r="G23" s="13">
        <v>739.06</v>
      </c>
    </row>
    <row r="24" spans="1:7" x14ac:dyDescent="0.35">
      <c r="A24" s="9"/>
      <c r="B24" s="27"/>
      <c r="C24" s="27"/>
      <c r="D24" s="27"/>
      <c r="E24" s="27"/>
      <c r="F24" s="27"/>
      <c r="G24" s="33"/>
    </row>
    <row r="25" spans="1:7" ht="15.75" customHeight="1" x14ac:dyDescent="0.35">
      <c r="A25" s="9" t="s">
        <v>68</v>
      </c>
      <c r="B25" s="17">
        <v>17591.87</v>
      </c>
      <c r="C25" s="17">
        <v>16843.490000000002</v>
      </c>
      <c r="D25" s="17">
        <v>17009.48</v>
      </c>
      <c r="E25" s="17">
        <v>15246.18</v>
      </c>
      <c r="F25" s="17">
        <v>13130.77</v>
      </c>
      <c r="G25" s="18">
        <v>12587.43</v>
      </c>
    </row>
    <row r="26" spans="1:7" ht="15" customHeight="1" x14ac:dyDescent="0.35">
      <c r="A26" s="9"/>
      <c r="B26" s="4"/>
      <c r="C26" s="4"/>
      <c r="D26" s="4"/>
      <c r="E26" s="4"/>
      <c r="F26" s="4"/>
      <c r="G26" s="5"/>
    </row>
    <row r="27" spans="1:7" x14ac:dyDescent="0.35">
      <c r="A27" s="34" t="s">
        <v>69</v>
      </c>
      <c r="B27" s="7"/>
      <c r="C27" s="7"/>
      <c r="D27" s="7"/>
      <c r="E27" s="7"/>
      <c r="F27" s="7"/>
      <c r="G27" s="8"/>
    </row>
    <row r="28" spans="1:7" x14ac:dyDescent="0.35">
      <c r="A28" s="9" t="s">
        <v>70</v>
      </c>
      <c r="B28" s="10">
        <v>89.87</v>
      </c>
      <c r="C28" s="10">
        <v>82.42</v>
      </c>
      <c r="D28" s="10">
        <v>87.05</v>
      </c>
      <c r="E28" s="10">
        <v>76.38</v>
      </c>
      <c r="F28" s="10">
        <v>65.180000000000007</v>
      </c>
      <c r="G28" s="13">
        <v>63.57</v>
      </c>
    </row>
    <row r="29" spans="1:7" ht="15" customHeight="1" x14ac:dyDescent="0.35">
      <c r="A29" s="23" t="s">
        <v>71</v>
      </c>
      <c r="B29" s="35">
        <v>89.36</v>
      </c>
      <c r="C29" s="35">
        <v>81.83</v>
      </c>
      <c r="D29" s="35">
        <v>86.37</v>
      </c>
      <c r="E29" s="35">
        <v>75.61</v>
      </c>
      <c r="F29" s="35">
        <v>64.430000000000007</v>
      </c>
      <c r="G29" s="36">
        <v>63.09</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7" tint="0.39997558519241921"/>
  </sheetPr>
  <dimension ref="A1:H60"/>
  <sheetViews>
    <sheetView topLeftCell="A29" zoomScaleNormal="100" workbookViewId="0">
      <selection activeCell="D52" sqref="D52"/>
    </sheetView>
  </sheetViews>
  <sheetFormatPr defaultColWidth="8.54296875" defaultRowHeight="14.5" x14ac:dyDescent="0.35"/>
  <cols>
    <col min="1" max="1" width="43.6328125" customWidth="1"/>
    <col min="2" max="2" width="11.54296875" customWidth="1"/>
    <col min="3" max="3" width="11.08984375" customWidth="1"/>
    <col min="4" max="4" width="11" customWidth="1"/>
    <col min="5" max="5" width="11.36328125" customWidth="1"/>
    <col min="6" max="6" width="11.81640625" customWidth="1"/>
    <col min="7" max="7" width="11.54296875" customWidth="1"/>
  </cols>
  <sheetData>
    <row r="1" spans="1:8" s="37" customFormat="1" ht="29.25" customHeight="1" x14ac:dyDescent="0.3">
      <c r="A1" s="100" t="s">
        <v>0</v>
      </c>
      <c r="B1" s="102">
        <v>45747</v>
      </c>
      <c r="C1" s="102">
        <v>45382</v>
      </c>
      <c r="D1" s="102">
        <v>45016</v>
      </c>
      <c r="E1" s="102">
        <v>44651</v>
      </c>
      <c r="F1" s="102">
        <v>44286</v>
      </c>
      <c r="G1" s="103">
        <v>43921</v>
      </c>
      <c r="H1" s="2" t="s">
        <v>2</v>
      </c>
    </row>
    <row r="2" spans="1:8" x14ac:dyDescent="0.35">
      <c r="A2" s="38" t="s">
        <v>72</v>
      </c>
      <c r="B2" s="30"/>
      <c r="C2" s="30"/>
      <c r="D2" s="30"/>
      <c r="E2" s="30"/>
      <c r="F2" s="30"/>
      <c r="G2" s="31"/>
    </row>
    <row r="3" spans="1:8" ht="15" customHeight="1" x14ac:dyDescent="0.35">
      <c r="A3" s="19" t="s">
        <v>73</v>
      </c>
      <c r="B3" s="39">
        <v>22601.43</v>
      </c>
      <c r="C3" s="39">
        <v>20683.22</v>
      </c>
      <c r="D3" s="39">
        <v>21730.57</v>
      </c>
      <c r="E3" s="39">
        <v>19129</v>
      </c>
      <c r="F3" s="39">
        <v>16306.08</v>
      </c>
      <c r="G3" s="40">
        <v>15153.8</v>
      </c>
    </row>
    <row r="4" spans="1:8" ht="15" customHeight="1" x14ac:dyDescent="0.35">
      <c r="A4" s="185" t="s">
        <v>74</v>
      </c>
      <c r="B4" s="185"/>
      <c r="C4" s="185"/>
      <c r="D4" s="185"/>
      <c r="E4" s="185"/>
      <c r="F4" s="4"/>
      <c r="G4" s="5"/>
    </row>
    <row r="5" spans="1:8" x14ac:dyDescent="0.35">
      <c r="A5" s="9" t="s">
        <v>75</v>
      </c>
      <c r="B5" s="11">
        <v>4763.37</v>
      </c>
      <c r="C5" s="11">
        <v>4104.99</v>
      </c>
      <c r="D5" s="11">
        <v>3252.42</v>
      </c>
      <c r="E5" s="11">
        <v>2907.52</v>
      </c>
      <c r="F5" s="11">
        <v>2417.88</v>
      </c>
      <c r="G5" s="12">
        <v>2316.31</v>
      </c>
    </row>
    <row r="6" spans="1:8" ht="25.5" customHeight="1" x14ac:dyDescent="0.35">
      <c r="A6" s="9" t="s">
        <v>76</v>
      </c>
      <c r="B6" s="10">
        <v>-17.97</v>
      </c>
      <c r="C6" s="10">
        <v>-17.5</v>
      </c>
      <c r="D6" s="10">
        <v>-18.14</v>
      </c>
      <c r="E6" s="10">
        <v>-4.97</v>
      </c>
      <c r="F6" s="10">
        <v>-4.3099999999999996</v>
      </c>
      <c r="G6" s="13">
        <v>-16.329999999999998</v>
      </c>
    </row>
    <row r="7" spans="1:8" ht="25.5" customHeight="1" x14ac:dyDescent="0.35">
      <c r="A7" s="9" t="s">
        <v>77</v>
      </c>
      <c r="B7" s="11">
        <v>-1527.32</v>
      </c>
      <c r="C7" s="11">
        <v>-1434.87</v>
      </c>
      <c r="D7" s="10">
        <v>-734.61</v>
      </c>
      <c r="E7" s="10">
        <v>-754.84</v>
      </c>
      <c r="F7" s="10">
        <v>-839.28</v>
      </c>
      <c r="G7" s="13">
        <v>-933.38</v>
      </c>
    </row>
    <row r="8" spans="1:8" x14ac:dyDescent="0.35">
      <c r="A8" s="9" t="s">
        <v>78</v>
      </c>
      <c r="B8" s="10">
        <v>571.53</v>
      </c>
      <c r="C8" s="10">
        <v>881.68</v>
      </c>
      <c r="D8" s="11">
        <v>1289.22</v>
      </c>
      <c r="E8" s="10">
        <v>651.72</v>
      </c>
      <c r="F8" s="10">
        <v>102.19</v>
      </c>
      <c r="G8" s="13">
        <v>146.69999999999999</v>
      </c>
    </row>
    <row r="9" spans="1:8" x14ac:dyDescent="0.35">
      <c r="A9" s="9" t="s">
        <v>79</v>
      </c>
      <c r="B9" s="10">
        <v>892.06</v>
      </c>
      <c r="C9" s="10">
        <v>310.70999999999998</v>
      </c>
      <c r="D9" s="10">
        <v>262.97000000000003</v>
      </c>
      <c r="E9" s="10">
        <v>106.89</v>
      </c>
      <c r="F9" s="10">
        <v>251.81</v>
      </c>
      <c r="G9" s="13">
        <v>92.49</v>
      </c>
    </row>
    <row r="10" spans="1:8" x14ac:dyDescent="0.35">
      <c r="A10" s="9" t="s">
        <v>57</v>
      </c>
      <c r="B10" s="11">
        <v>1655.01</v>
      </c>
      <c r="C10" s="11">
        <v>1608.67</v>
      </c>
      <c r="D10" s="10">
        <v>972.58</v>
      </c>
      <c r="E10" s="10">
        <v>744.03</v>
      </c>
      <c r="F10" s="10">
        <v>634.15</v>
      </c>
      <c r="G10" s="13">
        <v>811.93</v>
      </c>
    </row>
    <row r="11" spans="1:8" x14ac:dyDescent="0.35">
      <c r="A11" s="9" t="s">
        <v>80</v>
      </c>
      <c r="B11" s="10">
        <v>-927.23</v>
      </c>
      <c r="C11" s="10">
        <v>-528.05999999999995</v>
      </c>
      <c r="D11" s="10">
        <v>-350.35</v>
      </c>
      <c r="E11" s="10">
        <v>-352.46</v>
      </c>
      <c r="F11" s="10">
        <v>-213.25</v>
      </c>
      <c r="G11" s="13">
        <v>-557.21</v>
      </c>
    </row>
    <row r="12" spans="1:8" x14ac:dyDescent="0.35">
      <c r="A12" s="9" t="s">
        <v>81</v>
      </c>
      <c r="B12" s="10">
        <v>-24.95</v>
      </c>
      <c r="C12" s="10">
        <v>-34.049999999999997</v>
      </c>
      <c r="D12" s="10">
        <v>-16.66</v>
      </c>
      <c r="E12" s="7" t="s">
        <v>12</v>
      </c>
      <c r="F12" s="10">
        <v>-31.82</v>
      </c>
      <c r="G12" s="8" t="s">
        <v>12</v>
      </c>
    </row>
    <row r="13" spans="1:8" x14ac:dyDescent="0.35">
      <c r="A13" s="9" t="s">
        <v>82</v>
      </c>
      <c r="B13" s="10">
        <v>279.33</v>
      </c>
      <c r="C13" s="10">
        <v>139.01</v>
      </c>
      <c r="D13" s="7" t="s">
        <v>12</v>
      </c>
      <c r="E13" s="7" t="s">
        <v>12</v>
      </c>
      <c r="F13" s="7" t="s">
        <v>12</v>
      </c>
      <c r="G13" s="8" t="s">
        <v>12</v>
      </c>
    </row>
    <row r="14" spans="1:8" x14ac:dyDescent="0.35">
      <c r="A14" s="9" t="s">
        <v>83</v>
      </c>
      <c r="B14" s="7" t="s">
        <v>12</v>
      </c>
      <c r="C14" s="11">
        <v>-2004.82</v>
      </c>
      <c r="D14" s="7" t="s">
        <v>12</v>
      </c>
      <c r="E14" s="7" t="s">
        <v>12</v>
      </c>
      <c r="F14" s="7" t="s">
        <v>12</v>
      </c>
      <c r="G14" s="8" t="s">
        <v>12</v>
      </c>
    </row>
    <row r="15" spans="1:8" x14ac:dyDescent="0.35">
      <c r="A15" s="9" t="s">
        <v>84</v>
      </c>
      <c r="B15" s="7" t="s">
        <v>12</v>
      </c>
      <c r="C15" s="7" t="s">
        <v>12</v>
      </c>
      <c r="D15" s="7" t="s">
        <v>12</v>
      </c>
      <c r="E15" s="7" t="s">
        <v>12</v>
      </c>
      <c r="F15" s="10">
        <v>-106.41</v>
      </c>
      <c r="G15" s="13">
        <v>-106.42</v>
      </c>
    </row>
    <row r="16" spans="1:8" x14ac:dyDescent="0.35">
      <c r="A16" s="9" t="s">
        <v>85</v>
      </c>
      <c r="B16" s="14">
        <v>239.02</v>
      </c>
      <c r="C16" s="14">
        <v>-37.85</v>
      </c>
      <c r="D16" s="14">
        <v>-65.239999999999995</v>
      </c>
      <c r="E16" s="14">
        <v>-82.64</v>
      </c>
      <c r="F16" s="14">
        <v>-102.1</v>
      </c>
      <c r="G16" s="32">
        <v>-160.04</v>
      </c>
    </row>
    <row r="17" spans="1:7" ht="27" customHeight="1" x14ac:dyDescent="0.35">
      <c r="A17" s="19" t="s">
        <v>86</v>
      </c>
      <c r="B17" s="39">
        <v>28504.28</v>
      </c>
      <c r="C17" s="39">
        <v>23671.13</v>
      </c>
      <c r="D17" s="39">
        <v>26322.76</v>
      </c>
      <c r="E17" s="39">
        <v>22344.25</v>
      </c>
      <c r="F17" s="39">
        <v>18446.759999999998</v>
      </c>
      <c r="G17" s="40">
        <v>16747.849999999999</v>
      </c>
    </row>
    <row r="18" spans="1:7" ht="15" customHeight="1" x14ac:dyDescent="0.35">
      <c r="A18" s="1" t="s">
        <v>87</v>
      </c>
      <c r="B18" s="4"/>
      <c r="C18" s="4"/>
      <c r="D18" s="4"/>
      <c r="E18" s="4"/>
      <c r="F18" s="4"/>
      <c r="G18" s="5"/>
    </row>
    <row r="19" spans="1:7" x14ac:dyDescent="0.35">
      <c r="A19" s="9" t="s">
        <v>88</v>
      </c>
      <c r="B19" s="11">
        <v>-5225.1099999999997</v>
      </c>
      <c r="C19" s="10">
        <v>371.44</v>
      </c>
      <c r="D19" s="11">
        <v>-3712.8</v>
      </c>
      <c r="E19" s="11">
        <v>-3118</v>
      </c>
      <c r="F19" s="10">
        <v>-820.64</v>
      </c>
      <c r="G19" s="12">
        <v>1779.25</v>
      </c>
    </row>
    <row r="20" spans="1:7" x14ac:dyDescent="0.35">
      <c r="A20" s="9" t="s">
        <v>89</v>
      </c>
      <c r="B20" s="10">
        <v>-41.39</v>
      </c>
      <c r="C20" s="10">
        <v>-52.88</v>
      </c>
      <c r="D20" s="10">
        <v>40.14</v>
      </c>
      <c r="E20" s="10">
        <v>-155.26</v>
      </c>
      <c r="F20" s="10">
        <v>89.59</v>
      </c>
      <c r="G20" s="13">
        <v>-209.43</v>
      </c>
    </row>
    <row r="21" spans="1:7" x14ac:dyDescent="0.35">
      <c r="A21" s="9" t="s">
        <v>90</v>
      </c>
      <c r="B21" s="10">
        <v>-120.06</v>
      </c>
      <c r="C21" s="10">
        <v>-73.040000000000006</v>
      </c>
      <c r="D21" s="10">
        <v>45.26</v>
      </c>
      <c r="E21" s="10">
        <v>271.58</v>
      </c>
      <c r="F21" s="10">
        <v>139.43</v>
      </c>
      <c r="G21" s="13">
        <v>-70.709999999999994</v>
      </c>
    </row>
    <row r="22" spans="1:7" x14ac:dyDescent="0.35">
      <c r="A22" s="9" t="s">
        <v>21</v>
      </c>
      <c r="B22" s="10">
        <v>559.29</v>
      </c>
      <c r="C22" s="11">
        <v>3114.96</v>
      </c>
      <c r="D22" s="10">
        <v>-861</v>
      </c>
      <c r="E22" s="11">
        <v>-3603.2</v>
      </c>
      <c r="F22" s="10">
        <v>-310.54000000000002</v>
      </c>
      <c r="G22" s="13">
        <v>-832.49</v>
      </c>
    </row>
    <row r="23" spans="1:7" x14ac:dyDescent="0.35">
      <c r="A23" s="9" t="s">
        <v>91</v>
      </c>
      <c r="B23" s="11">
        <v>1651.14</v>
      </c>
      <c r="C23" s="10">
        <v>-990.67</v>
      </c>
      <c r="D23" s="10">
        <v>-327.43</v>
      </c>
      <c r="E23" s="11">
        <v>2401.7600000000002</v>
      </c>
      <c r="F23" s="10">
        <v>-924.81</v>
      </c>
      <c r="G23" s="12">
        <v>-1442.35</v>
      </c>
    </row>
    <row r="24" spans="1:7" x14ac:dyDescent="0.35">
      <c r="A24" s="9" t="s">
        <v>38</v>
      </c>
      <c r="B24" s="11">
        <v>1321.34</v>
      </c>
      <c r="C24" s="10">
        <v>966.12</v>
      </c>
      <c r="D24" s="10">
        <v>463.4</v>
      </c>
      <c r="E24" s="11">
        <v>2220.15</v>
      </c>
      <c r="F24" s="10">
        <v>-132.19</v>
      </c>
      <c r="G24" s="13">
        <v>678.09</v>
      </c>
    </row>
    <row r="25" spans="1:7" x14ac:dyDescent="0.35">
      <c r="A25" s="9" t="s">
        <v>42</v>
      </c>
      <c r="B25" s="10">
        <v>-503.84</v>
      </c>
      <c r="C25" s="10">
        <v>-133.57</v>
      </c>
      <c r="D25" s="10">
        <v>-660.68</v>
      </c>
      <c r="E25" s="10">
        <v>-516.54</v>
      </c>
      <c r="F25" s="10">
        <v>899.59</v>
      </c>
      <c r="G25" s="13">
        <v>535.53</v>
      </c>
    </row>
    <row r="26" spans="1:7" x14ac:dyDescent="0.35">
      <c r="A26" s="9" t="s">
        <v>92</v>
      </c>
      <c r="B26" s="14">
        <v>17.48</v>
      </c>
      <c r="C26" s="14">
        <v>825.2</v>
      </c>
      <c r="D26" s="14">
        <v>-765.75</v>
      </c>
      <c r="E26" s="14">
        <v>998.41</v>
      </c>
      <c r="F26" s="14">
        <v>606.38</v>
      </c>
      <c r="G26" s="32">
        <v>-15.47</v>
      </c>
    </row>
    <row r="27" spans="1:7" ht="15" customHeight="1" x14ac:dyDescent="0.35">
      <c r="A27" s="19" t="s">
        <v>93</v>
      </c>
      <c r="B27" s="39">
        <v>-2341.15</v>
      </c>
      <c r="C27" s="39">
        <v>4027.56</v>
      </c>
      <c r="D27" s="39">
        <v>-5778.86</v>
      </c>
      <c r="E27" s="39">
        <v>-1501.1</v>
      </c>
      <c r="F27" s="41">
        <v>-453.19</v>
      </c>
      <c r="G27" s="42">
        <v>422.42</v>
      </c>
    </row>
    <row r="28" spans="1:7" ht="15" customHeight="1" x14ac:dyDescent="0.35">
      <c r="A28" s="9" t="s">
        <v>94</v>
      </c>
      <c r="B28" s="43">
        <v>-7111.11</v>
      </c>
      <c r="C28" s="43">
        <v>-5901.72</v>
      </c>
      <c r="D28" s="43">
        <v>-5926.25</v>
      </c>
      <c r="E28" s="43">
        <v>-3685.83</v>
      </c>
      <c r="F28" s="43">
        <v>-3448.25</v>
      </c>
      <c r="G28" s="44">
        <v>-3960.06</v>
      </c>
    </row>
    <row r="29" spans="1:7" ht="27" customHeight="1" x14ac:dyDescent="0.35">
      <c r="A29" s="19" t="s">
        <v>95</v>
      </c>
      <c r="B29" s="39">
        <v>19052.02</v>
      </c>
      <c r="C29" s="39">
        <v>21796.97</v>
      </c>
      <c r="D29" s="39">
        <v>14617.65</v>
      </c>
      <c r="E29" s="39">
        <v>17157.32</v>
      </c>
      <c r="F29" s="39">
        <v>14545.32</v>
      </c>
      <c r="G29" s="40">
        <v>13210.21</v>
      </c>
    </row>
    <row r="30" spans="1:7" ht="15" customHeight="1" x14ac:dyDescent="0.35">
      <c r="A30" s="9"/>
      <c r="B30" s="4"/>
      <c r="C30" s="4"/>
      <c r="D30" s="4"/>
      <c r="E30" s="4"/>
      <c r="F30" s="4"/>
      <c r="G30" s="5"/>
    </row>
    <row r="31" spans="1:7" x14ac:dyDescent="0.35">
      <c r="A31" s="22" t="s">
        <v>96</v>
      </c>
      <c r="B31" s="7"/>
      <c r="C31" s="7"/>
      <c r="D31" s="7"/>
      <c r="E31" s="7"/>
      <c r="F31" s="7"/>
      <c r="G31" s="8"/>
    </row>
    <row r="32" spans="1:7" ht="25.5" customHeight="1" x14ac:dyDescent="0.35">
      <c r="A32" s="9" t="s">
        <v>97</v>
      </c>
      <c r="B32" s="10">
        <v>-618.39</v>
      </c>
      <c r="C32" s="10">
        <v>-936.92</v>
      </c>
      <c r="D32" s="11">
        <v>-1131.45</v>
      </c>
      <c r="E32" s="11">
        <v>-1200.25</v>
      </c>
      <c r="F32" s="11">
        <v>-1261.6500000000001</v>
      </c>
      <c r="G32" s="12">
        <v>-1261.18</v>
      </c>
    </row>
    <row r="33" spans="1:7" ht="25.5" customHeight="1" x14ac:dyDescent="0.35">
      <c r="A33" s="9" t="s">
        <v>98</v>
      </c>
      <c r="B33" s="10">
        <v>19.71</v>
      </c>
      <c r="C33" s="10">
        <v>20.71</v>
      </c>
      <c r="D33" s="10">
        <v>19.93</v>
      </c>
      <c r="E33" s="10">
        <v>8.4499999999999993</v>
      </c>
      <c r="F33" s="10">
        <v>9.76</v>
      </c>
      <c r="G33" s="13">
        <v>18.079999999999998</v>
      </c>
    </row>
    <row r="34" spans="1:7" x14ac:dyDescent="0.35">
      <c r="A34" s="9" t="s">
        <v>99</v>
      </c>
      <c r="B34" s="11">
        <v>-90992.09</v>
      </c>
      <c r="C34" s="11">
        <v>-76749.58</v>
      </c>
      <c r="D34" s="11">
        <v>-80446.429999999993</v>
      </c>
      <c r="E34" s="11">
        <v>-58146.48</v>
      </c>
      <c r="F34" s="11">
        <v>-67143.61</v>
      </c>
      <c r="G34" s="12">
        <v>-78641.89</v>
      </c>
    </row>
    <row r="35" spans="1:7" x14ac:dyDescent="0.35">
      <c r="A35" s="9" t="s">
        <v>100</v>
      </c>
      <c r="B35" s="11">
        <v>101478.52</v>
      </c>
      <c r="C35" s="11">
        <v>64851.45</v>
      </c>
      <c r="D35" s="11">
        <v>81800.679999999993</v>
      </c>
      <c r="E35" s="11">
        <v>59231.38</v>
      </c>
      <c r="F35" s="11">
        <v>62779.21</v>
      </c>
      <c r="G35" s="12">
        <v>79610.98</v>
      </c>
    </row>
    <row r="36" spans="1:7" x14ac:dyDescent="0.35">
      <c r="A36" s="9" t="s">
        <v>101</v>
      </c>
      <c r="B36" s="10">
        <v>463.26</v>
      </c>
      <c r="C36" s="10">
        <v>329.07</v>
      </c>
      <c r="D36" s="10">
        <v>286.02</v>
      </c>
      <c r="E36" s="10">
        <v>320.67</v>
      </c>
      <c r="F36" s="10">
        <v>196.67</v>
      </c>
      <c r="G36" s="13">
        <v>211.98</v>
      </c>
    </row>
    <row r="37" spans="1:7" ht="25.5" customHeight="1" x14ac:dyDescent="0.35">
      <c r="A37" s="9" t="s">
        <v>102</v>
      </c>
      <c r="B37" s="11">
        <v>-2799.75</v>
      </c>
      <c r="C37" s="11">
        <v>-12332.99</v>
      </c>
      <c r="D37" s="7" t="s">
        <v>12</v>
      </c>
      <c r="E37" s="11">
        <v>-5218.8</v>
      </c>
      <c r="F37" s="10">
        <v>-805.19</v>
      </c>
      <c r="G37" s="8" t="s">
        <v>12</v>
      </c>
    </row>
    <row r="38" spans="1:7" x14ac:dyDescent="0.35">
      <c r="A38" s="9" t="s">
        <v>103</v>
      </c>
      <c r="B38" s="11">
        <v>-7133.94</v>
      </c>
      <c r="C38" s="10">
        <v>-420.94</v>
      </c>
      <c r="D38" s="10">
        <v>-15.72</v>
      </c>
      <c r="E38" s="10">
        <v>-486.61</v>
      </c>
      <c r="F38" s="11">
        <v>-3788.01</v>
      </c>
      <c r="G38" s="12">
        <v>-1426.24</v>
      </c>
    </row>
    <row r="39" spans="1:7" x14ac:dyDescent="0.35">
      <c r="A39" s="9" t="s">
        <v>104</v>
      </c>
      <c r="B39" s="14">
        <v>23.26</v>
      </c>
      <c r="C39" s="14">
        <v>418.47</v>
      </c>
      <c r="D39" s="15">
        <v>1311.8</v>
      </c>
      <c r="E39" s="15">
        <v>2671.29</v>
      </c>
      <c r="F39" s="15">
        <v>1794.01</v>
      </c>
      <c r="G39" s="16">
        <v>2895.7</v>
      </c>
    </row>
    <row r="40" spans="1:7" ht="27" customHeight="1" x14ac:dyDescent="0.35">
      <c r="A40" s="19" t="s">
        <v>105</v>
      </c>
      <c r="B40" s="41">
        <v>440.58</v>
      </c>
      <c r="C40" s="39">
        <v>-24820.73</v>
      </c>
      <c r="D40" s="39">
        <v>1824.83</v>
      </c>
      <c r="E40" s="39">
        <v>-2820.35</v>
      </c>
      <c r="F40" s="39">
        <v>-8218.81</v>
      </c>
      <c r="G40" s="40">
        <v>1407.43</v>
      </c>
    </row>
    <row r="41" spans="1:7" ht="15" customHeight="1" x14ac:dyDescent="0.35">
      <c r="A41" s="9"/>
      <c r="B41" s="4"/>
      <c r="C41" s="4"/>
      <c r="D41" s="4"/>
      <c r="E41" s="4"/>
      <c r="F41" s="4"/>
      <c r="G41" s="5"/>
    </row>
    <row r="42" spans="1:7" x14ac:dyDescent="0.35">
      <c r="A42" s="22" t="s">
        <v>106</v>
      </c>
      <c r="B42" s="7"/>
      <c r="C42" s="7"/>
      <c r="D42" s="7"/>
      <c r="E42" s="7"/>
      <c r="F42" s="7"/>
      <c r="G42" s="8"/>
    </row>
    <row r="43" spans="1:7" x14ac:dyDescent="0.35">
      <c r="A43" s="9" t="s">
        <v>107</v>
      </c>
      <c r="B43" s="10">
        <v>575.47</v>
      </c>
      <c r="C43" s="10">
        <v>301.07</v>
      </c>
      <c r="D43" s="10">
        <v>270.73</v>
      </c>
      <c r="E43" s="10">
        <v>441.71</v>
      </c>
      <c r="F43" s="10">
        <v>268.02999999999997</v>
      </c>
      <c r="G43" s="13">
        <v>151.4</v>
      </c>
    </row>
    <row r="44" spans="1:7" x14ac:dyDescent="0.35">
      <c r="A44" s="9" t="s">
        <v>108</v>
      </c>
      <c r="B44" s="11">
        <v>-20836.439999999999</v>
      </c>
      <c r="C44" s="11">
        <v>-13421.38</v>
      </c>
      <c r="D44" s="11">
        <v>-13787.39</v>
      </c>
      <c r="E44" s="11">
        <v>-16605.849999999999</v>
      </c>
      <c r="F44" s="11">
        <v>-12558.31</v>
      </c>
      <c r="G44" s="12">
        <v>-17615.48</v>
      </c>
    </row>
    <row r="45" spans="1:7" x14ac:dyDescent="0.35">
      <c r="A45" s="9" t="s">
        <v>109</v>
      </c>
      <c r="B45" s="11">
        <v>16381.84</v>
      </c>
      <c r="C45" s="11">
        <v>26386.34</v>
      </c>
      <c r="D45" s="11">
        <v>10230.34</v>
      </c>
      <c r="E45" s="11">
        <v>16638.150000000001</v>
      </c>
      <c r="F45" s="11">
        <v>12149.6</v>
      </c>
      <c r="G45" s="12">
        <v>17391.84</v>
      </c>
    </row>
    <row r="46" spans="1:7" x14ac:dyDescent="0.35">
      <c r="A46" s="9" t="s">
        <v>110</v>
      </c>
      <c r="B46" s="10">
        <v>-963.59</v>
      </c>
      <c r="C46" s="10">
        <v>-833.35</v>
      </c>
      <c r="D46" s="10">
        <v>-491.8</v>
      </c>
      <c r="E46" s="10">
        <v>-276.13</v>
      </c>
      <c r="F46" s="10">
        <v>-619.65</v>
      </c>
      <c r="G46" s="13">
        <v>-779.89</v>
      </c>
    </row>
    <row r="47" spans="1:7" x14ac:dyDescent="0.35">
      <c r="A47" s="9" t="s">
        <v>111</v>
      </c>
      <c r="B47" s="11">
        <v>-1755.04</v>
      </c>
      <c r="C47" s="11">
        <v>-1665.52</v>
      </c>
      <c r="D47" s="11">
        <v>-1493.35</v>
      </c>
      <c r="E47" s="11">
        <v>-1443.32</v>
      </c>
      <c r="F47" s="11">
        <v>-1327.59</v>
      </c>
      <c r="G47" s="12">
        <v>-1329.78</v>
      </c>
    </row>
    <row r="48" spans="1:7" x14ac:dyDescent="0.35">
      <c r="A48" s="9" t="s">
        <v>112</v>
      </c>
      <c r="B48" s="10">
        <v>-558.35</v>
      </c>
      <c r="C48" s="10">
        <v>-569.27</v>
      </c>
      <c r="D48" s="10">
        <v>-478.03</v>
      </c>
      <c r="E48" s="10">
        <v>-464.61</v>
      </c>
      <c r="F48" s="10">
        <v>-493.27</v>
      </c>
      <c r="G48" s="8" t="s">
        <v>12</v>
      </c>
    </row>
    <row r="49" spans="1:7" x14ac:dyDescent="0.35">
      <c r="A49" s="9" t="s">
        <v>113</v>
      </c>
      <c r="B49" s="15">
        <v>-10400.99</v>
      </c>
      <c r="C49" s="15">
        <v>-9427.14</v>
      </c>
      <c r="D49" s="15">
        <v>-8652.32</v>
      </c>
      <c r="E49" s="15">
        <v>-12176.78</v>
      </c>
      <c r="F49" s="15">
        <v>-6526.78</v>
      </c>
      <c r="G49" s="16">
        <v>-6065.25</v>
      </c>
    </row>
    <row r="50" spans="1:7" ht="27" customHeight="1" x14ac:dyDescent="0.35">
      <c r="A50" s="19" t="s">
        <v>114</v>
      </c>
      <c r="B50" s="39">
        <v>-17557.099999999999</v>
      </c>
      <c r="C50" s="41">
        <v>770.75</v>
      </c>
      <c r="D50" s="39">
        <v>-14401.82</v>
      </c>
      <c r="E50" s="39">
        <v>-13886.83</v>
      </c>
      <c r="F50" s="39">
        <v>-8614.7000000000007</v>
      </c>
      <c r="G50" s="40">
        <v>-8247.16</v>
      </c>
    </row>
    <row r="51" spans="1:7" ht="15" customHeight="1" x14ac:dyDescent="0.35">
      <c r="A51" s="9"/>
      <c r="B51" s="30"/>
      <c r="C51" s="30"/>
      <c r="D51" s="30"/>
      <c r="E51" s="30"/>
      <c r="F51" s="30"/>
      <c r="G51" s="31"/>
    </row>
    <row r="52" spans="1:7" ht="27" customHeight="1" x14ac:dyDescent="0.35">
      <c r="A52" s="19" t="s">
        <v>115</v>
      </c>
      <c r="B52" s="39">
        <v>1935.5</v>
      </c>
      <c r="C52" s="39">
        <v>-2253.0100000000002</v>
      </c>
      <c r="D52" s="39">
        <v>2040.66</v>
      </c>
      <c r="E52" s="41">
        <v>450.14</v>
      </c>
      <c r="F52" s="39">
        <v>-2288.19</v>
      </c>
      <c r="G52" s="40">
        <v>6370.48</v>
      </c>
    </row>
    <row r="53" spans="1:7" ht="15" customHeight="1" x14ac:dyDescent="0.35">
      <c r="A53" s="9" t="s">
        <v>116</v>
      </c>
      <c r="B53" s="45">
        <v>-121.19</v>
      </c>
      <c r="C53" s="45">
        <v>-138.97999999999999</v>
      </c>
      <c r="D53" s="45">
        <v>132</v>
      </c>
      <c r="E53" s="45">
        <v>106.89</v>
      </c>
      <c r="F53" s="45">
        <v>119.62</v>
      </c>
      <c r="G53" s="46">
        <v>9.51</v>
      </c>
    </row>
    <row r="54" spans="1:7" ht="25.5" customHeight="1" x14ac:dyDescent="0.35">
      <c r="A54" s="9" t="s">
        <v>117</v>
      </c>
      <c r="B54" s="15">
        <v>8049.14</v>
      </c>
      <c r="C54" s="15">
        <v>10441.129999999999</v>
      </c>
      <c r="D54" s="15">
        <v>8268.4699999999993</v>
      </c>
      <c r="E54" s="15">
        <v>7711.44</v>
      </c>
      <c r="F54" s="15">
        <v>9880.01</v>
      </c>
      <c r="G54" s="16">
        <v>3500.02</v>
      </c>
    </row>
    <row r="55" spans="1:7" ht="15" customHeight="1" x14ac:dyDescent="0.35">
      <c r="A55" s="47" t="s">
        <v>118</v>
      </c>
      <c r="B55" s="48">
        <v>9863.4500000000007</v>
      </c>
      <c r="C55" s="48">
        <v>8049.14</v>
      </c>
      <c r="D55" s="48">
        <v>10441.129999999999</v>
      </c>
      <c r="E55" s="48">
        <v>8268.4699999999993</v>
      </c>
      <c r="F55" s="48">
        <v>7711.44</v>
      </c>
      <c r="G55" s="49">
        <v>9880.01</v>
      </c>
    </row>
    <row r="60" spans="1:7" x14ac:dyDescent="0.35">
      <c r="E60" s="50"/>
    </row>
  </sheetData>
  <mergeCells count="1">
    <mergeCell ref="A4:E4"/>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7" tint="0.39997558519241921"/>
  </sheetPr>
  <dimension ref="A1:H32"/>
  <sheetViews>
    <sheetView zoomScaleNormal="100" workbookViewId="0">
      <selection activeCell="B6" sqref="B6"/>
    </sheetView>
  </sheetViews>
  <sheetFormatPr defaultColWidth="8.54296875" defaultRowHeight="14.5" x14ac:dyDescent="0.35"/>
  <cols>
    <col min="1" max="1" width="25.26953125" customWidth="1"/>
    <col min="2" max="7" width="11.6328125" customWidth="1"/>
    <col min="8" max="8" width="8.90625" customWidth="1"/>
  </cols>
  <sheetData>
    <row r="1" spans="1:8" ht="28.5" customHeight="1" thickBot="1" x14ac:dyDescent="0.4">
      <c r="A1" s="127" t="s">
        <v>0</v>
      </c>
      <c r="B1" s="128" t="s">
        <v>119</v>
      </c>
      <c r="C1" s="128" t="s">
        <v>120</v>
      </c>
      <c r="D1" s="128" t="s">
        <v>121</v>
      </c>
      <c r="E1" s="128" t="s">
        <v>122</v>
      </c>
      <c r="F1" s="128" t="s">
        <v>123</v>
      </c>
      <c r="G1" s="129" t="s">
        <v>124</v>
      </c>
      <c r="H1" s="2" t="s">
        <v>2</v>
      </c>
    </row>
    <row r="2" spans="1:8" x14ac:dyDescent="0.35">
      <c r="A2" s="130" t="s">
        <v>125</v>
      </c>
      <c r="B2" s="51">
        <v>22601.43</v>
      </c>
      <c r="C2" s="51">
        <v>20683.22</v>
      </c>
      <c r="D2" s="51">
        <v>21730.57</v>
      </c>
      <c r="E2" s="51">
        <v>19129</v>
      </c>
      <c r="F2" s="51">
        <v>16306.08</v>
      </c>
      <c r="G2" s="131">
        <v>15153.8</v>
      </c>
    </row>
    <row r="3" spans="1:8" x14ac:dyDescent="0.35">
      <c r="A3" s="132" t="s">
        <v>126</v>
      </c>
      <c r="B3" s="10">
        <f>-Cashflow!B46</f>
        <v>963.59</v>
      </c>
      <c r="C3" s="10">
        <f>-Cashflow!C46</f>
        <v>833.35</v>
      </c>
      <c r="D3" s="10">
        <f>-Cashflow!D46</f>
        <v>491.8</v>
      </c>
      <c r="E3" s="10">
        <f>-Cashflow!E46</f>
        <v>276.13</v>
      </c>
      <c r="F3" s="10">
        <f>-Cashflow!F46</f>
        <v>619.65</v>
      </c>
      <c r="G3" s="133">
        <f>-Cashflow!G46</f>
        <v>779.89</v>
      </c>
    </row>
    <row r="4" spans="1:8" x14ac:dyDescent="0.35">
      <c r="A4" s="132" t="s">
        <v>127</v>
      </c>
      <c r="B4" s="11">
        <v>2550.0100000000002</v>
      </c>
      <c r="C4" s="11">
        <v>2178.04</v>
      </c>
      <c r="D4" s="11">
        <v>1615.99</v>
      </c>
      <c r="E4" s="11">
        <v>1604.5</v>
      </c>
      <c r="F4" s="11">
        <v>1329.45</v>
      </c>
      <c r="G4" s="134">
        <v>1778.2</v>
      </c>
    </row>
    <row r="5" spans="1:8" x14ac:dyDescent="0.35">
      <c r="A5" s="132" t="s">
        <v>128</v>
      </c>
      <c r="B5" s="52">
        <f t="shared" ref="B5:G5" si="0">B2+B3-B4</f>
        <v>21015.010000000002</v>
      </c>
      <c r="C5" s="52">
        <f t="shared" si="0"/>
        <v>19338.53</v>
      </c>
      <c r="D5" s="52">
        <f t="shared" si="0"/>
        <v>20606.379999999997</v>
      </c>
      <c r="E5" s="52">
        <f t="shared" si="0"/>
        <v>17800.63</v>
      </c>
      <c r="F5" s="52">
        <f t="shared" si="0"/>
        <v>15596.279999999999</v>
      </c>
      <c r="G5" s="135">
        <f t="shared" si="0"/>
        <v>14155.489999999998</v>
      </c>
    </row>
    <row r="6" spans="1:8" x14ac:dyDescent="0.35">
      <c r="A6" s="132" t="s">
        <v>129</v>
      </c>
      <c r="B6" s="53">
        <f>'Income Statement'!B19 / 'Income Statement'!B14</f>
        <v>0.24688880305361208</v>
      </c>
      <c r="C6" s="53">
        <f>'Income Statement'!C19 / 'Income Statement'!C14</f>
        <v>0.24826985353344402</v>
      </c>
      <c r="D6" s="53">
        <f>'Income Statement'!D19 / 'Income Statement'!D14</f>
        <v>0.24625907189733176</v>
      </c>
      <c r="E6" s="53">
        <f>'Income Statement'!E19 / 'Income Statement'!E14</f>
        <v>0.25197919389408752</v>
      </c>
      <c r="F6" s="53">
        <f>'Income Statement'!F19 / 'Income Statement'!F14</f>
        <v>0.25377221257346949</v>
      </c>
      <c r="G6" s="136">
        <f>'Income Statement'!G19 / 'Income Statement'!G14</f>
        <v>0.21812548667660916</v>
      </c>
    </row>
    <row r="7" spans="1:8" x14ac:dyDescent="0.35">
      <c r="A7" s="132" t="s">
        <v>130</v>
      </c>
      <c r="B7" s="155">
        <f t="shared" ref="B7:G7" si="1">B5*(1-B6)</f>
        <v>15826.639334940313</v>
      </c>
      <c r="C7" s="155">
        <f t="shared" si="1"/>
        <v>14537.355989347887</v>
      </c>
      <c r="D7" s="155">
        <f t="shared" si="1"/>
        <v>15531.871986036258</v>
      </c>
      <c r="E7" s="155">
        <f t="shared" si="1"/>
        <v>13315.24160179309</v>
      </c>
      <c r="F7" s="7">
        <f t="shared" si="1"/>
        <v>11638.377516484648</v>
      </c>
      <c r="G7" s="137">
        <f t="shared" si="1"/>
        <v>11067.816854604125</v>
      </c>
    </row>
    <row r="8" spans="1:8" x14ac:dyDescent="0.35">
      <c r="A8" s="132"/>
      <c r="B8" s="54"/>
      <c r="C8" s="54"/>
      <c r="D8" s="54"/>
      <c r="E8" s="54"/>
      <c r="F8" s="54"/>
      <c r="G8" s="138"/>
    </row>
    <row r="9" spans="1:8" x14ac:dyDescent="0.35">
      <c r="A9" s="132" t="s">
        <v>131</v>
      </c>
      <c r="B9" s="11">
        <v>4763.37</v>
      </c>
      <c r="C9" s="11">
        <v>4104.99</v>
      </c>
      <c r="D9" s="11">
        <v>3252.42</v>
      </c>
      <c r="E9" s="11">
        <v>2907.52</v>
      </c>
      <c r="F9" s="11">
        <v>2417.88</v>
      </c>
      <c r="G9" s="134">
        <v>2316.31</v>
      </c>
    </row>
    <row r="10" spans="1:8" x14ac:dyDescent="0.35">
      <c r="A10" s="132"/>
      <c r="B10" s="11"/>
      <c r="C10" s="11"/>
      <c r="D10" s="11"/>
      <c r="E10" s="11"/>
      <c r="F10" s="10"/>
      <c r="G10" s="133"/>
    </row>
    <row r="11" spans="1:8" x14ac:dyDescent="0.35">
      <c r="A11" s="132" t="s">
        <v>132</v>
      </c>
      <c r="B11" s="11">
        <v>-2341.15</v>
      </c>
      <c r="C11" s="11">
        <v>4027.56</v>
      </c>
      <c r="D11" s="11">
        <v>-5778.86</v>
      </c>
      <c r="E11" s="11">
        <v>-1501.1</v>
      </c>
      <c r="F11" s="10">
        <v>-453.19</v>
      </c>
      <c r="G11" s="133">
        <v>422.42</v>
      </c>
    </row>
    <row r="12" spans="1:8" x14ac:dyDescent="0.35">
      <c r="A12" s="132" t="s">
        <v>133</v>
      </c>
      <c r="B12" s="10">
        <v>618.39</v>
      </c>
      <c r="C12" s="10">
        <v>936.92</v>
      </c>
      <c r="D12" s="11">
        <v>1131.45</v>
      </c>
      <c r="E12" s="11">
        <v>1200.25</v>
      </c>
      <c r="F12" s="11">
        <v>1261.6500000000001</v>
      </c>
      <c r="G12" s="134">
        <v>1261.18</v>
      </c>
    </row>
    <row r="13" spans="1:8" x14ac:dyDescent="0.35">
      <c r="A13" s="132"/>
      <c r="B13" s="56"/>
      <c r="C13" s="56"/>
      <c r="D13" s="56"/>
      <c r="E13" s="56"/>
      <c r="F13" s="56"/>
      <c r="G13" s="139"/>
    </row>
    <row r="14" spans="1:8" ht="17.25" customHeight="1" thickBot="1" x14ac:dyDescent="0.45">
      <c r="A14" s="140" t="s">
        <v>134</v>
      </c>
      <c r="B14" s="59">
        <f t="shared" ref="B14:G14" si="2">B7+B9+B11-B12</f>
        <v>17630.469334940313</v>
      </c>
      <c r="C14" s="59">
        <f t="shared" si="2"/>
        <v>21732.98598934789</v>
      </c>
      <c r="D14" s="59">
        <f t="shared" si="2"/>
        <v>11873.981986036259</v>
      </c>
      <c r="E14" s="59">
        <f t="shared" si="2"/>
        <v>13521.41160179309</v>
      </c>
      <c r="F14" s="59">
        <f t="shared" si="2"/>
        <v>12341.417516484649</v>
      </c>
      <c r="G14" s="141">
        <f t="shared" si="2"/>
        <v>12545.366854604124</v>
      </c>
    </row>
    <row r="15" spans="1:8" ht="15" customHeight="1" thickTop="1" x14ac:dyDescent="0.35">
      <c r="A15" s="132"/>
      <c r="B15" s="60"/>
      <c r="C15" s="60"/>
      <c r="D15" s="60"/>
      <c r="E15" s="60"/>
      <c r="F15" s="60"/>
      <c r="G15" s="142"/>
    </row>
    <row r="16" spans="1:8" x14ac:dyDescent="0.35">
      <c r="A16" s="132" t="s">
        <v>135</v>
      </c>
      <c r="B16" s="11">
        <v>17021.39</v>
      </c>
      <c r="C16" s="11">
        <v>15548.2</v>
      </c>
      <c r="D16" s="11">
        <v>16379.22</v>
      </c>
      <c r="E16" s="11">
        <v>14308.89</v>
      </c>
      <c r="F16" s="11">
        <v>12168.05</v>
      </c>
      <c r="G16" s="134">
        <v>11848.37</v>
      </c>
    </row>
    <row r="17" spans="1:7" x14ac:dyDescent="0.35">
      <c r="A17" s="132" t="s">
        <v>136</v>
      </c>
      <c r="B17" s="11">
        <v>-4454.6000000000004</v>
      </c>
      <c r="C17" s="11">
        <v>12964.96</v>
      </c>
      <c r="D17" s="11">
        <v>-3557.05</v>
      </c>
      <c r="E17" s="10">
        <v>32.299999999999997</v>
      </c>
      <c r="F17" s="10">
        <v>-408.71</v>
      </c>
      <c r="G17" s="133">
        <v>-223.64</v>
      </c>
    </row>
    <row r="18" spans="1:7" x14ac:dyDescent="0.35">
      <c r="A18" s="132"/>
      <c r="B18" s="56"/>
      <c r="C18" s="56"/>
      <c r="D18" s="56"/>
      <c r="E18" s="56"/>
      <c r="F18" s="56"/>
      <c r="G18" s="139"/>
    </row>
    <row r="19" spans="1:7" ht="17.25" customHeight="1" thickBot="1" x14ac:dyDescent="0.45">
      <c r="A19" s="140" t="s">
        <v>137</v>
      </c>
      <c r="B19" s="59">
        <f t="shared" ref="B19:G19" si="3">B16+B9-B12+B11+B17</f>
        <v>14370.619999999997</v>
      </c>
      <c r="C19" s="59">
        <f t="shared" si="3"/>
        <v>35708.790000000008</v>
      </c>
      <c r="D19" s="59">
        <f t="shared" si="3"/>
        <v>9164.2799999999988</v>
      </c>
      <c r="E19" s="59">
        <f t="shared" si="3"/>
        <v>14547.359999999999</v>
      </c>
      <c r="F19" s="59">
        <f t="shared" si="3"/>
        <v>12462.380000000001</v>
      </c>
      <c r="G19" s="141">
        <f t="shared" si="3"/>
        <v>13102.28</v>
      </c>
    </row>
    <row r="20" spans="1:7" ht="15" customHeight="1" thickTop="1" x14ac:dyDescent="0.35">
      <c r="A20" s="143"/>
      <c r="G20" s="144"/>
    </row>
    <row r="21" spans="1:7" x14ac:dyDescent="0.35">
      <c r="A21" s="145" t="s">
        <v>138</v>
      </c>
      <c r="B21" s="11">
        <v>2500.1999999999998</v>
      </c>
      <c r="C21" s="11">
        <v>2388.0500000000002</v>
      </c>
      <c r="D21" s="11">
        <v>1795.75</v>
      </c>
      <c r="E21" s="11">
        <v>3376.85</v>
      </c>
      <c r="F21" s="11">
        <v>1760.48</v>
      </c>
      <c r="G21" s="133">
        <v>675.65</v>
      </c>
    </row>
    <row r="22" spans="1:7" x14ac:dyDescent="0.35">
      <c r="A22" s="145" t="s">
        <v>139</v>
      </c>
      <c r="B22" s="14">
        <v>190.08</v>
      </c>
      <c r="C22" s="14">
        <v>189.01</v>
      </c>
      <c r="D22" s="14">
        <v>188.41</v>
      </c>
      <c r="E22" s="14">
        <v>187.83</v>
      </c>
      <c r="F22" s="14">
        <v>187.05</v>
      </c>
      <c r="G22" s="146">
        <v>186.54</v>
      </c>
    </row>
    <row r="23" spans="1:7" ht="15" customHeight="1" thickBot="1" x14ac:dyDescent="0.4">
      <c r="A23" s="147" t="s">
        <v>140</v>
      </c>
      <c r="B23" s="17">
        <v>406124.93</v>
      </c>
      <c r="C23" s="17">
        <v>452111.92</v>
      </c>
      <c r="D23" s="17">
        <v>338054.64</v>
      </c>
      <c r="E23" s="17">
        <v>634865.4</v>
      </c>
      <c r="F23" s="17">
        <v>333663.53000000003</v>
      </c>
      <c r="G23" s="148">
        <v>122043.8</v>
      </c>
    </row>
    <row r="24" spans="1:7" ht="15" customHeight="1" thickTop="1" x14ac:dyDescent="0.35">
      <c r="A24" s="145"/>
      <c r="B24" s="4"/>
      <c r="C24" s="4"/>
      <c r="D24" s="4"/>
      <c r="E24" s="4"/>
      <c r="F24" s="4"/>
      <c r="G24" s="149"/>
    </row>
    <row r="25" spans="1:7" x14ac:dyDescent="0.35">
      <c r="A25" s="145" t="s">
        <v>141</v>
      </c>
      <c r="B25" s="11">
        <v>17240.45</v>
      </c>
      <c r="C25" s="11">
        <v>13200.5</v>
      </c>
      <c r="D25" s="11">
        <v>5400.25</v>
      </c>
      <c r="E25" s="11">
        <v>8900.6</v>
      </c>
      <c r="F25" s="11">
        <v>7800.4</v>
      </c>
      <c r="G25" s="134">
        <v>9100.35</v>
      </c>
    </row>
    <row r="26" spans="1:7" x14ac:dyDescent="0.35">
      <c r="A26" s="145" t="s">
        <v>142</v>
      </c>
      <c r="B26" s="15">
        <v>4945.38</v>
      </c>
      <c r="C26" s="15">
        <v>4219.93</v>
      </c>
      <c r="D26" s="15">
        <v>3400.33</v>
      </c>
      <c r="E26" s="15">
        <v>3218.44</v>
      </c>
      <c r="F26" s="15">
        <v>3241.62</v>
      </c>
      <c r="G26" s="150">
        <v>3853.5</v>
      </c>
    </row>
    <row r="27" spans="1:7" ht="15" customHeight="1" thickBot="1" x14ac:dyDescent="0.4">
      <c r="A27" s="151" t="s">
        <v>143</v>
      </c>
      <c r="B27" s="17">
        <v>22185.83</v>
      </c>
      <c r="C27" s="17">
        <v>17420.43</v>
      </c>
      <c r="D27" s="17">
        <v>8800.58</v>
      </c>
      <c r="E27" s="17">
        <v>12119.04</v>
      </c>
      <c r="F27" s="17">
        <v>11042.02</v>
      </c>
      <c r="G27" s="148">
        <v>12953.85</v>
      </c>
    </row>
    <row r="28" spans="1:7" ht="15" customHeight="1" x14ac:dyDescent="0.35">
      <c r="A28" s="143"/>
      <c r="G28" s="144"/>
    </row>
    <row r="29" spans="1:7" x14ac:dyDescent="0.35">
      <c r="A29" s="132" t="s">
        <v>144</v>
      </c>
      <c r="B29" s="54">
        <f t="shared" ref="B29:G29" si="4">B23/(B23+B27)</f>
        <v>0.94820155813970208</v>
      </c>
      <c r="C29" s="54">
        <f t="shared" si="4"/>
        <v>0.96289833916661971</v>
      </c>
      <c r="D29" s="54">
        <f t="shared" si="4"/>
        <v>0.97462751173241668</v>
      </c>
      <c r="E29" s="54">
        <f t="shared" si="4"/>
        <v>0.98126842123127411</v>
      </c>
      <c r="F29" s="54">
        <f t="shared" si="4"/>
        <v>0.9679668052922269</v>
      </c>
      <c r="G29" s="138">
        <f t="shared" si="4"/>
        <v>0.9040438852083722</v>
      </c>
    </row>
    <row r="30" spans="1:7" x14ac:dyDescent="0.35">
      <c r="A30" s="132" t="s">
        <v>145</v>
      </c>
      <c r="B30" s="54">
        <f t="shared" ref="B30:G30" si="5">B27/(B23+B27)</f>
        <v>5.1798441860297889E-2</v>
      </c>
      <c r="C30" s="54">
        <f t="shared" si="5"/>
        <v>3.7101660833380283E-2</v>
      </c>
      <c r="D30" s="54">
        <f t="shared" si="5"/>
        <v>2.5372488267583228E-2</v>
      </c>
      <c r="E30" s="54">
        <f t="shared" si="5"/>
        <v>1.8731578768725873E-2</v>
      </c>
      <c r="F30" s="54">
        <f t="shared" si="5"/>
        <v>3.2033194707773049E-2</v>
      </c>
      <c r="G30" s="138">
        <f t="shared" si="5"/>
        <v>9.5956114791627856E-2</v>
      </c>
    </row>
    <row r="31" spans="1:7" x14ac:dyDescent="0.35">
      <c r="A31" s="132" t="s">
        <v>146</v>
      </c>
      <c r="B31" s="54">
        <f t="shared" ref="B31:G31" si="6">B3/B27</f>
        <v>4.3432677524347749E-2</v>
      </c>
      <c r="C31" s="54">
        <f t="shared" si="6"/>
        <v>4.7837510325520097E-2</v>
      </c>
      <c r="D31" s="54">
        <f t="shared" si="6"/>
        <v>5.5882680459696979E-2</v>
      </c>
      <c r="E31" s="54">
        <f t="shared" si="6"/>
        <v>2.2784808037600336E-2</v>
      </c>
      <c r="F31" s="54">
        <f t="shared" si="6"/>
        <v>5.6117449524634072E-2</v>
      </c>
      <c r="G31" s="138">
        <f t="shared" si="6"/>
        <v>6.0205267159956305E-2</v>
      </c>
    </row>
    <row r="32" spans="1:7" ht="15" customHeight="1" thickBot="1" x14ac:dyDescent="0.4">
      <c r="A32" s="152" t="s">
        <v>147</v>
      </c>
      <c r="B32" s="153">
        <f t="shared" ref="B32:G32" si="7">B3/B27*(1-B6)</f>
        <v>3.2709635756948012E-2</v>
      </c>
      <c r="C32" s="153">
        <f t="shared" si="7"/>
        <v>3.596089864359861E-2</v>
      </c>
      <c r="D32" s="153">
        <f t="shared" si="7"/>
        <v>4.2121063434556842E-2</v>
      </c>
      <c r="E32" s="153">
        <f t="shared" si="7"/>
        <v>1.7043510475254278E-2</v>
      </c>
      <c r="F32" s="153">
        <f t="shared" si="7"/>
        <v>4.1876400194787687E-2</v>
      </c>
      <c r="G32" s="154">
        <f t="shared" si="7"/>
        <v>4.7072963960195564E-2</v>
      </c>
    </row>
  </sheetData>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7" tint="0.39997558519241921"/>
  </sheetPr>
  <dimension ref="A1:M1428"/>
  <sheetViews>
    <sheetView topLeftCell="C1" zoomScaleNormal="100" workbookViewId="0">
      <selection activeCell="J14" sqref="J14"/>
    </sheetView>
  </sheetViews>
  <sheetFormatPr defaultColWidth="8.54296875" defaultRowHeight="14.5" x14ac:dyDescent="0.35"/>
  <cols>
    <col min="1" max="1" width="10.54296875" customWidth="1"/>
    <col min="2" max="2" width="19.6328125" customWidth="1"/>
    <col min="3" max="3" width="21.6328125" customWidth="1"/>
    <col min="4" max="4" width="24.08984375" bestFit="1" customWidth="1"/>
    <col min="5" max="5" width="20.1796875" bestFit="1" customWidth="1"/>
    <col min="6" max="6" width="13.1796875" customWidth="1"/>
    <col min="7" max="7" width="10.26953125" customWidth="1"/>
    <col min="9" max="9" width="11.90625" customWidth="1"/>
    <col min="10" max="10" width="15.1796875" customWidth="1"/>
    <col min="12" max="12" width="15.453125" customWidth="1"/>
    <col min="13" max="13" width="15.54296875" customWidth="1"/>
  </cols>
  <sheetData>
    <row r="1" spans="1:13" ht="28.5" customHeight="1" thickBot="1" x14ac:dyDescent="0.4">
      <c r="A1" s="106" t="s">
        <v>148</v>
      </c>
      <c r="B1" s="107" t="s">
        <v>149</v>
      </c>
      <c r="C1" s="107" t="s">
        <v>150</v>
      </c>
      <c r="D1" s="108" t="s">
        <v>151</v>
      </c>
      <c r="E1" s="108" t="s">
        <v>152</v>
      </c>
      <c r="F1" s="109" t="s">
        <v>153</v>
      </c>
      <c r="G1" s="64"/>
      <c r="H1" s="104" t="s">
        <v>154</v>
      </c>
      <c r="I1" s="105" t="s">
        <v>153</v>
      </c>
      <c r="J1" s="105" t="s">
        <v>155</v>
      </c>
      <c r="K1" s="105" t="s">
        <v>156</v>
      </c>
      <c r="L1" s="105" t="s">
        <v>157</v>
      </c>
      <c r="M1" s="110" t="s">
        <v>158</v>
      </c>
    </row>
    <row r="2" spans="1:13" x14ac:dyDescent="0.35">
      <c r="A2" s="65">
        <v>43922</v>
      </c>
      <c r="B2" s="60">
        <v>675.65</v>
      </c>
      <c r="C2" s="60">
        <v>8253.7999999999993</v>
      </c>
      <c r="D2" s="60">
        <f t="shared" ref="D2:D65" si="0">LN(B3/B2)</f>
        <v>-6.0122652807092598E-3</v>
      </c>
      <c r="E2" s="60">
        <f t="shared" ref="E2:E65" si="1">LN(C3/C2)</f>
        <v>-2.0811641353066516E-2</v>
      </c>
      <c r="F2" s="61">
        <f t="shared" ref="F2:F65" si="2">YEAR(A2)</f>
        <v>2020</v>
      </c>
      <c r="H2" s="186">
        <f>SLOPE(D3:D1427, E3:E1427)</f>
        <v>0.91795628890081349</v>
      </c>
      <c r="I2" s="66" t="s">
        <v>159</v>
      </c>
      <c r="J2" s="67">
        <v>6.1400000000000003E-2</v>
      </c>
      <c r="K2" s="67">
        <v>7.6700000000000004E-2</v>
      </c>
      <c r="L2" s="67">
        <f>Table3[[#This Row],[Rf (Bond Yield)]]+H2*Table3[[#This Row],[ERP]]</f>
        <v>0.1318072473586924</v>
      </c>
      <c r="M2" s="68">
        <f>('FCFF &amp; FCFE'!G29*L2)+('FCFF &amp; FCFE'!G30*'FCFF &amp; FCFE'!G32)</f>
        <v>0.12367647473411991</v>
      </c>
    </row>
    <row r="3" spans="1:13" x14ac:dyDescent="0.35">
      <c r="A3" s="69">
        <v>43924</v>
      </c>
      <c r="B3" s="54">
        <v>671.6</v>
      </c>
      <c r="C3" s="54">
        <v>8083.8</v>
      </c>
      <c r="D3" s="54">
        <f t="shared" si="0"/>
        <v>-1.8629611558155334E-3</v>
      </c>
      <c r="E3" s="54">
        <f t="shared" si="1"/>
        <v>8.4002905787553775E-2</v>
      </c>
      <c r="F3" s="55">
        <f t="shared" si="2"/>
        <v>2020</v>
      </c>
      <c r="H3" s="186"/>
      <c r="I3" s="70" t="s">
        <v>160</v>
      </c>
      <c r="J3" s="71">
        <v>6.1699999999999998E-2</v>
      </c>
      <c r="K3" s="71">
        <v>7.6899999999999996E-2</v>
      </c>
      <c r="L3" s="71">
        <f>Table3[[#This Row],[Rf (Bond Yield)]]+H2*Table3[[#This Row],[ERP]]</f>
        <v>0.13229083861647256</v>
      </c>
      <c r="M3" s="72">
        <f>('FCFF &amp; FCFE'!F29*L3)+('FCFF &amp; FCFE'!F30*'FCFF &amp; FCFE'!F32)</f>
        <v>0.12939457530611675</v>
      </c>
    </row>
    <row r="4" spans="1:13" x14ac:dyDescent="0.35">
      <c r="A4" s="69">
        <v>43928</v>
      </c>
      <c r="B4" s="54">
        <v>670.35</v>
      </c>
      <c r="C4" s="54">
        <v>8792.2000000000007</v>
      </c>
      <c r="D4" s="54">
        <f t="shared" si="0"/>
        <v>4.5395426794039287E-3</v>
      </c>
      <c r="E4" s="54">
        <f t="shared" si="1"/>
        <v>-4.9541317736614601E-3</v>
      </c>
      <c r="F4" s="55">
        <f t="shared" si="2"/>
        <v>2020</v>
      </c>
      <c r="H4" s="186"/>
      <c r="I4" s="70" t="s">
        <v>161</v>
      </c>
      <c r="J4" s="71">
        <v>6.8500000000000005E-2</v>
      </c>
      <c r="K4" s="71">
        <v>7.2700000000000001E-2</v>
      </c>
      <c r="L4" s="71">
        <f>Table3[[#This Row],[Rf (Bond Yield)]]+H2*Table3[[#This Row],[ERP]]</f>
        <v>0.13523542220308915</v>
      </c>
      <c r="M4" s="72">
        <f>('FCFF &amp; FCFE'!E29*L4)+('FCFF &amp; FCFE'!E30*'FCFF &amp; FCFE'!E32)</f>
        <v>0.13302150109873292</v>
      </c>
    </row>
    <row r="5" spans="1:13" x14ac:dyDescent="0.35">
      <c r="A5" s="69">
        <v>43929</v>
      </c>
      <c r="B5" s="54">
        <v>673.4</v>
      </c>
      <c r="C5" s="54">
        <v>8748.75</v>
      </c>
      <c r="D5" s="54">
        <f t="shared" si="0"/>
        <v>3.2616782066708736E-3</v>
      </c>
      <c r="E5" s="54">
        <f t="shared" si="1"/>
        <v>4.0670418523978472E-2</v>
      </c>
      <c r="F5" s="55">
        <f t="shared" si="2"/>
        <v>2020</v>
      </c>
      <c r="H5" s="186"/>
      <c r="I5" s="70" t="s">
        <v>162</v>
      </c>
      <c r="J5" s="71">
        <v>7.2400000000000006E-2</v>
      </c>
      <c r="K5" s="71">
        <v>8.0500000000000002E-2</v>
      </c>
      <c r="L5" s="71">
        <f>Table3[[#This Row],[Rf (Bond Yield)]]+H2*Table3[[#This Row],[ERP]]</f>
        <v>0.14629548125651548</v>
      </c>
      <c r="M5" s="72">
        <f>('FCFF &amp; FCFE'!D29*L5)+('FCFF &amp; FCFE'!D30*'FCFF &amp; FCFE'!D32)</f>
        <v>0.14365231706254553</v>
      </c>
    </row>
    <row r="6" spans="1:13" x14ac:dyDescent="0.35">
      <c r="A6" s="69">
        <v>43930</v>
      </c>
      <c r="B6" s="54">
        <v>675.6</v>
      </c>
      <c r="C6" s="54">
        <v>9111.9</v>
      </c>
      <c r="D6" s="54">
        <f t="shared" si="0"/>
        <v>-7.5029137766959453E-3</v>
      </c>
      <c r="E6" s="54">
        <f t="shared" si="1"/>
        <v>-1.3040241121341193E-2</v>
      </c>
      <c r="F6" s="55">
        <f t="shared" si="2"/>
        <v>2020</v>
      </c>
      <c r="H6" s="186"/>
      <c r="I6" s="70" t="s">
        <v>163</v>
      </c>
      <c r="J6" s="71">
        <v>7.0499999999999993E-2</v>
      </c>
      <c r="K6" s="71">
        <v>7.3400000000000007E-2</v>
      </c>
      <c r="L6" s="71">
        <f>Table3[[#This Row],[Rf (Bond Yield)]]+H2*Table3[[#This Row],[ERP]]</f>
        <v>0.13787799160531972</v>
      </c>
      <c r="M6" s="72">
        <f>('FCFF &amp; FCFE'!C29*L6)+('FCFF &amp; FCFE'!C30*'FCFF &amp; FCFE'!C32)</f>
        <v>0.13409669818912984</v>
      </c>
    </row>
    <row r="7" spans="1:13" ht="15" customHeight="1" thickBot="1" x14ac:dyDescent="0.4">
      <c r="A7" s="69">
        <v>43934</v>
      </c>
      <c r="B7" s="54">
        <v>670.55</v>
      </c>
      <c r="C7" s="54">
        <v>8993.85</v>
      </c>
      <c r="D7" s="54">
        <f t="shared" si="0"/>
        <v>3.7275879210462082E-4</v>
      </c>
      <c r="E7" s="54">
        <f t="shared" si="1"/>
        <v>-7.6510698780880753E-3</v>
      </c>
      <c r="F7" s="55">
        <f t="shared" si="2"/>
        <v>2020</v>
      </c>
      <c r="H7" s="187"/>
      <c r="I7" s="73" t="s">
        <v>164</v>
      </c>
      <c r="J7" s="74">
        <v>6.6500000000000004E-2</v>
      </c>
      <c r="K7" s="74">
        <v>7.0800000000000002E-2</v>
      </c>
      <c r="L7" s="74">
        <f>Table3[[#This Row],[Rf (Bond Yield)]]+H2*Table3[[#This Row],[ERP]]</f>
        <v>0.1314913052541776</v>
      </c>
      <c r="M7" s="75">
        <f>('FCFF &amp; FCFE'!B29*L7)+('FCFF &amp; FCFE'!B30*'FCFF &amp; FCFE'!B32)</f>
        <v>0.12637456868986219</v>
      </c>
    </row>
    <row r="8" spans="1:13" x14ac:dyDescent="0.35">
      <c r="A8" s="69">
        <v>43936</v>
      </c>
      <c r="B8" s="54">
        <v>670.8</v>
      </c>
      <c r="C8" s="54">
        <v>8925.2999999999993</v>
      </c>
      <c r="D8" s="54">
        <f t="shared" si="0"/>
        <v>2.3353671027237181E-2</v>
      </c>
      <c r="E8" s="54">
        <f t="shared" si="1"/>
        <v>7.5343166192884132E-3</v>
      </c>
      <c r="F8" s="55">
        <f t="shared" si="2"/>
        <v>2020</v>
      </c>
    </row>
    <row r="9" spans="1:13" x14ac:dyDescent="0.35">
      <c r="A9" s="69">
        <v>43937</v>
      </c>
      <c r="B9" s="54">
        <v>686.65</v>
      </c>
      <c r="C9" s="54">
        <v>8992.7999999999993</v>
      </c>
      <c r="D9" s="54">
        <f t="shared" si="0"/>
        <v>5.6826635545725104E-2</v>
      </c>
      <c r="E9" s="54">
        <f t="shared" si="1"/>
        <v>3.0008467628351927E-2</v>
      </c>
      <c r="F9" s="55">
        <f t="shared" si="2"/>
        <v>2020</v>
      </c>
    </row>
    <row r="10" spans="1:13" x14ac:dyDescent="0.35">
      <c r="A10" s="69">
        <v>43938</v>
      </c>
      <c r="B10" s="54">
        <v>726.8</v>
      </c>
      <c r="C10" s="54">
        <v>9266.75</v>
      </c>
      <c r="D10" s="54">
        <f t="shared" si="0"/>
        <v>3.1288527785327681E-2</v>
      </c>
      <c r="E10" s="54">
        <f t="shared" si="1"/>
        <v>-5.2891207260448751E-4</v>
      </c>
      <c r="F10" s="55">
        <f t="shared" si="2"/>
        <v>2020</v>
      </c>
    </row>
    <row r="11" spans="1:13" x14ac:dyDescent="0.35">
      <c r="A11" s="69">
        <v>43941</v>
      </c>
      <c r="B11" s="54">
        <v>749.9</v>
      </c>
      <c r="C11" s="54">
        <v>9261.85</v>
      </c>
      <c r="D11" s="54">
        <f t="shared" si="0"/>
        <v>-0.10108760513439277</v>
      </c>
      <c r="E11" s="54">
        <f t="shared" si="1"/>
        <v>-3.0742473508770931E-2</v>
      </c>
      <c r="F11" s="55">
        <f t="shared" si="2"/>
        <v>2020</v>
      </c>
    </row>
    <row r="12" spans="1:13" x14ac:dyDescent="0.35">
      <c r="A12" s="69">
        <v>43942</v>
      </c>
      <c r="B12" s="54">
        <v>677.8</v>
      </c>
      <c r="C12" s="54">
        <v>8981.4500000000007</v>
      </c>
      <c r="D12" s="54">
        <f t="shared" si="0"/>
        <v>-5.696334988672132E-3</v>
      </c>
      <c r="E12" s="54">
        <f t="shared" si="1"/>
        <v>2.2660756382103509E-2</v>
      </c>
      <c r="F12" s="55">
        <f t="shared" si="2"/>
        <v>2020</v>
      </c>
    </row>
    <row r="13" spans="1:13" x14ac:dyDescent="0.35">
      <c r="A13" s="69">
        <v>43943</v>
      </c>
      <c r="B13" s="54">
        <v>673.95</v>
      </c>
      <c r="C13" s="54">
        <v>9187.2999999999993</v>
      </c>
      <c r="D13" s="54">
        <f t="shared" si="0"/>
        <v>3.1906338533562825E-2</v>
      </c>
      <c r="E13" s="54">
        <f t="shared" si="1"/>
        <v>1.3685812382357899E-2</v>
      </c>
      <c r="F13" s="55">
        <f t="shared" si="2"/>
        <v>2020</v>
      </c>
    </row>
    <row r="14" spans="1:13" x14ac:dyDescent="0.35">
      <c r="A14" s="69">
        <v>43944</v>
      </c>
      <c r="B14" s="54">
        <v>695.8</v>
      </c>
      <c r="C14" s="54">
        <v>9313.9</v>
      </c>
      <c r="D14" s="54">
        <f t="shared" si="0"/>
        <v>-3.2351574515984922E-2</v>
      </c>
      <c r="E14" s="54">
        <f t="shared" si="1"/>
        <v>-1.7273269955520296E-2</v>
      </c>
      <c r="F14" s="55">
        <f t="shared" si="2"/>
        <v>2020</v>
      </c>
    </row>
    <row r="15" spans="1:13" x14ac:dyDescent="0.35">
      <c r="A15" s="69">
        <v>43945</v>
      </c>
      <c r="B15" s="54">
        <v>673.65</v>
      </c>
      <c r="C15" s="54">
        <v>9154.4</v>
      </c>
      <c r="D15" s="54">
        <f t="shared" si="0"/>
        <v>3.579490646907911E-2</v>
      </c>
      <c r="E15" s="54">
        <f t="shared" si="1"/>
        <v>1.3874722895871999E-2</v>
      </c>
      <c r="F15" s="55">
        <f t="shared" si="2"/>
        <v>2020</v>
      </c>
    </row>
    <row r="16" spans="1:13" x14ac:dyDescent="0.35">
      <c r="A16" s="69">
        <v>43948</v>
      </c>
      <c r="B16" s="54">
        <v>698.2</v>
      </c>
      <c r="C16" s="54">
        <v>9282.2999999999993</v>
      </c>
      <c r="D16" s="54">
        <f t="shared" si="0"/>
        <v>2.0344490448285363E-2</v>
      </c>
      <c r="E16" s="54">
        <f t="shared" si="1"/>
        <v>1.0566346325391251E-2</v>
      </c>
      <c r="F16" s="55">
        <f t="shared" si="2"/>
        <v>2020</v>
      </c>
    </row>
    <row r="17" spans="1:6" x14ac:dyDescent="0.35">
      <c r="A17" s="69">
        <v>43949</v>
      </c>
      <c r="B17" s="54">
        <v>712.55</v>
      </c>
      <c r="C17" s="54">
        <v>9380.9</v>
      </c>
      <c r="D17" s="54">
        <f t="shared" si="0"/>
        <v>-8.8100087043446202E-3</v>
      </c>
      <c r="E17" s="54">
        <f t="shared" si="1"/>
        <v>1.821617107952879E-2</v>
      </c>
      <c r="F17" s="55">
        <f t="shared" si="2"/>
        <v>2020</v>
      </c>
    </row>
    <row r="18" spans="1:6" x14ac:dyDescent="0.35">
      <c r="A18" s="69">
        <v>43950</v>
      </c>
      <c r="B18" s="54">
        <v>706.3</v>
      </c>
      <c r="C18" s="54">
        <v>9553.35</v>
      </c>
      <c r="D18" s="54">
        <f t="shared" si="0"/>
        <v>3.1153430564829051E-2</v>
      </c>
      <c r="E18" s="54">
        <f t="shared" si="1"/>
        <v>3.158414825312425E-2</v>
      </c>
      <c r="F18" s="55">
        <f t="shared" si="2"/>
        <v>2020</v>
      </c>
    </row>
    <row r="19" spans="1:6" x14ac:dyDescent="0.35">
      <c r="A19" s="69">
        <v>43951</v>
      </c>
      <c r="B19" s="54">
        <v>728.65</v>
      </c>
      <c r="C19" s="54">
        <v>9859.9</v>
      </c>
      <c r="D19" s="54">
        <f t="shared" si="0"/>
        <v>-3.8970967357524061E-2</v>
      </c>
      <c r="E19" s="54">
        <f t="shared" si="1"/>
        <v>-5.9160795509013528E-2</v>
      </c>
      <c r="F19" s="55">
        <f t="shared" si="2"/>
        <v>2020</v>
      </c>
    </row>
    <row r="20" spans="1:6" x14ac:dyDescent="0.35">
      <c r="A20" s="69">
        <v>43955</v>
      </c>
      <c r="B20" s="54">
        <v>700.8</v>
      </c>
      <c r="C20" s="54">
        <v>9293.5</v>
      </c>
      <c r="D20" s="54">
        <f t="shared" si="0"/>
        <v>1.9430434305622121E-2</v>
      </c>
      <c r="E20" s="54">
        <f t="shared" si="1"/>
        <v>-9.5032365391587315E-3</v>
      </c>
      <c r="F20" s="55">
        <f t="shared" si="2"/>
        <v>2020</v>
      </c>
    </row>
    <row r="21" spans="1:6" x14ac:dyDescent="0.35">
      <c r="A21" s="69">
        <v>43956</v>
      </c>
      <c r="B21" s="54">
        <v>714.55</v>
      </c>
      <c r="C21" s="54">
        <v>9205.6</v>
      </c>
      <c r="D21" s="54">
        <f t="shared" si="0"/>
        <v>3.7696269239576773E-2</v>
      </c>
      <c r="E21" s="54">
        <f t="shared" si="1"/>
        <v>7.0684677166181938E-3</v>
      </c>
      <c r="F21" s="55">
        <f t="shared" si="2"/>
        <v>2020</v>
      </c>
    </row>
    <row r="22" spans="1:6" x14ac:dyDescent="0.35">
      <c r="A22" s="69">
        <v>43957</v>
      </c>
      <c r="B22" s="54">
        <v>742</v>
      </c>
      <c r="C22" s="54">
        <v>9270.9</v>
      </c>
      <c r="D22" s="54">
        <f t="shared" si="0"/>
        <v>1.7434729054417626E-2</v>
      </c>
      <c r="E22" s="54">
        <f t="shared" si="1"/>
        <v>-7.7802443900713515E-3</v>
      </c>
      <c r="F22" s="55">
        <f t="shared" si="2"/>
        <v>2020</v>
      </c>
    </row>
    <row r="23" spans="1:6" x14ac:dyDescent="0.35">
      <c r="A23" s="69">
        <v>43958</v>
      </c>
      <c r="B23" s="54">
        <v>755.05</v>
      </c>
      <c r="C23" s="54">
        <v>9199.0499999999993</v>
      </c>
      <c r="D23" s="54">
        <f t="shared" si="0"/>
        <v>-2.0268930290292891E-2</v>
      </c>
      <c r="E23" s="54">
        <f t="shared" si="1"/>
        <v>5.6854826859751096E-3</v>
      </c>
      <c r="F23" s="55">
        <f t="shared" si="2"/>
        <v>2020</v>
      </c>
    </row>
    <row r="24" spans="1:6" x14ac:dyDescent="0.35">
      <c r="A24" s="69">
        <v>43959</v>
      </c>
      <c r="B24" s="54">
        <v>739.9</v>
      </c>
      <c r="C24" s="54">
        <v>9251.5</v>
      </c>
      <c r="D24" s="54">
        <f t="shared" si="0"/>
        <v>4.9825803769392461E-2</v>
      </c>
      <c r="E24" s="54">
        <f t="shared" si="1"/>
        <v>-1.3303987208930653E-3</v>
      </c>
      <c r="F24" s="55">
        <f t="shared" si="2"/>
        <v>2020</v>
      </c>
    </row>
    <row r="25" spans="1:6" x14ac:dyDescent="0.35">
      <c r="A25" s="69">
        <v>43962</v>
      </c>
      <c r="B25" s="54">
        <v>777.7</v>
      </c>
      <c r="C25" s="54">
        <v>9239.2000000000007</v>
      </c>
      <c r="D25" s="54">
        <f t="shared" si="0"/>
        <v>3.6239051616206393E-2</v>
      </c>
      <c r="E25" s="54">
        <f t="shared" si="1"/>
        <v>-4.6268880938292812E-3</v>
      </c>
      <c r="F25" s="55">
        <f t="shared" si="2"/>
        <v>2020</v>
      </c>
    </row>
    <row r="26" spans="1:6" x14ac:dyDescent="0.35">
      <c r="A26" s="69">
        <v>43963</v>
      </c>
      <c r="B26" s="54">
        <v>806.4</v>
      </c>
      <c r="C26" s="54">
        <v>9196.5499999999993</v>
      </c>
      <c r="D26" s="54">
        <f t="shared" si="0"/>
        <v>-4.2251833703424255E-3</v>
      </c>
      <c r="E26" s="54">
        <f t="shared" si="1"/>
        <v>2.0129742512240333E-2</v>
      </c>
      <c r="F26" s="55">
        <f t="shared" si="2"/>
        <v>2020</v>
      </c>
    </row>
    <row r="27" spans="1:6" x14ac:dyDescent="0.35">
      <c r="A27" s="69">
        <v>43964</v>
      </c>
      <c r="B27" s="54">
        <v>803</v>
      </c>
      <c r="C27" s="54">
        <v>9383.5499999999993</v>
      </c>
      <c r="D27" s="54">
        <f t="shared" si="0"/>
        <v>4.9800797842010803E-4</v>
      </c>
      <c r="E27" s="54">
        <f t="shared" si="1"/>
        <v>-2.5996940751458281E-2</v>
      </c>
      <c r="F27" s="55">
        <f t="shared" si="2"/>
        <v>2020</v>
      </c>
    </row>
    <row r="28" spans="1:6" x14ac:dyDescent="0.35">
      <c r="A28" s="69">
        <v>43965</v>
      </c>
      <c r="B28" s="54">
        <v>803.4</v>
      </c>
      <c r="C28" s="54">
        <v>9142.75</v>
      </c>
      <c r="D28" s="54">
        <f t="shared" si="0"/>
        <v>5.0838872009700109E-2</v>
      </c>
      <c r="E28" s="54">
        <f t="shared" si="1"/>
        <v>-6.455283709578169E-4</v>
      </c>
      <c r="F28" s="55">
        <f t="shared" si="2"/>
        <v>2020</v>
      </c>
    </row>
    <row r="29" spans="1:6" x14ac:dyDescent="0.35">
      <c r="A29" s="69">
        <v>43966</v>
      </c>
      <c r="B29" s="54">
        <v>845.3</v>
      </c>
      <c r="C29" s="54">
        <v>9136.85</v>
      </c>
      <c r="D29" s="54">
        <f t="shared" si="0"/>
        <v>-5.3456185150857122E-2</v>
      </c>
      <c r="E29" s="54">
        <f t="shared" si="1"/>
        <v>-3.4925404242762116E-2</v>
      </c>
      <c r="F29" s="55">
        <f t="shared" si="2"/>
        <v>2020</v>
      </c>
    </row>
    <row r="30" spans="1:6" x14ac:dyDescent="0.35">
      <c r="A30" s="69">
        <v>43969</v>
      </c>
      <c r="B30" s="54">
        <v>801.3</v>
      </c>
      <c r="C30" s="54">
        <v>8823.25</v>
      </c>
      <c r="D30" s="54">
        <f t="shared" si="0"/>
        <v>2.3190875258340682E-2</v>
      </c>
      <c r="E30" s="54">
        <f t="shared" si="1"/>
        <v>6.3099176443585188E-3</v>
      </c>
      <c r="F30" s="55">
        <f t="shared" si="2"/>
        <v>2020</v>
      </c>
    </row>
    <row r="31" spans="1:6" x14ac:dyDescent="0.35">
      <c r="A31" s="69">
        <v>43970</v>
      </c>
      <c r="B31" s="54">
        <v>820.1</v>
      </c>
      <c r="C31" s="54">
        <v>8879.1</v>
      </c>
      <c r="D31" s="54">
        <f t="shared" si="0"/>
        <v>4.6835644143735106E-3</v>
      </c>
      <c r="E31" s="54">
        <f t="shared" si="1"/>
        <v>2.0891616387661998E-2</v>
      </c>
      <c r="F31" s="55">
        <f t="shared" si="2"/>
        <v>2020</v>
      </c>
    </row>
    <row r="32" spans="1:6" x14ac:dyDescent="0.35">
      <c r="A32" s="69">
        <v>43971</v>
      </c>
      <c r="B32" s="54">
        <v>823.95</v>
      </c>
      <c r="C32" s="54">
        <v>9066.5499999999993</v>
      </c>
      <c r="D32" s="54">
        <f t="shared" si="0"/>
        <v>1.8398787403405181E-2</v>
      </c>
      <c r="E32" s="54">
        <f t="shared" si="1"/>
        <v>4.3691740573838051E-3</v>
      </c>
      <c r="F32" s="55">
        <f t="shared" si="2"/>
        <v>2020</v>
      </c>
    </row>
    <row r="33" spans="1:6" x14ac:dyDescent="0.35">
      <c r="A33" s="69">
        <v>43972</v>
      </c>
      <c r="B33" s="54">
        <v>839.25</v>
      </c>
      <c r="C33" s="54">
        <v>9106.25</v>
      </c>
      <c r="D33" s="54">
        <f t="shared" si="0"/>
        <v>2.3827962226284573E-4</v>
      </c>
      <c r="E33" s="54">
        <f t="shared" si="1"/>
        <v>-7.3847846008156101E-3</v>
      </c>
      <c r="F33" s="55">
        <f t="shared" si="2"/>
        <v>2020</v>
      </c>
    </row>
    <row r="34" spans="1:6" x14ac:dyDescent="0.35">
      <c r="A34" s="69">
        <v>43973</v>
      </c>
      <c r="B34" s="54">
        <v>839.45</v>
      </c>
      <c r="C34" s="54">
        <v>9039.25</v>
      </c>
      <c r="D34" s="54">
        <f t="shared" si="0"/>
        <v>3.0098191703921459E-2</v>
      </c>
      <c r="E34" s="54">
        <f t="shared" si="1"/>
        <v>-1.1290493387357832E-3</v>
      </c>
      <c r="F34" s="55">
        <f t="shared" si="2"/>
        <v>2020</v>
      </c>
    </row>
    <row r="35" spans="1:6" x14ac:dyDescent="0.35">
      <c r="A35" s="69">
        <v>43977</v>
      </c>
      <c r="B35" s="54">
        <v>865.1</v>
      </c>
      <c r="C35" s="54">
        <v>9029.0499999999993</v>
      </c>
      <c r="D35" s="54">
        <f t="shared" si="0"/>
        <v>-2.161677909950532E-2</v>
      </c>
      <c r="E35" s="54">
        <f t="shared" si="1"/>
        <v>3.1173479330792266E-2</v>
      </c>
      <c r="F35" s="55">
        <f t="shared" si="2"/>
        <v>2020</v>
      </c>
    </row>
    <row r="36" spans="1:6" x14ac:dyDescent="0.35">
      <c r="A36" s="69">
        <v>43978</v>
      </c>
      <c r="B36" s="54">
        <v>846.6</v>
      </c>
      <c r="C36" s="54">
        <v>9314.9500000000007</v>
      </c>
      <c r="D36" s="54">
        <f t="shared" si="0"/>
        <v>-1.8325308825863928E-3</v>
      </c>
      <c r="E36" s="54">
        <f t="shared" si="1"/>
        <v>1.8628513621497384E-2</v>
      </c>
      <c r="F36" s="55">
        <f t="shared" si="2"/>
        <v>2020</v>
      </c>
    </row>
    <row r="37" spans="1:6" x14ac:dyDescent="0.35">
      <c r="A37" s="69">
        <v>43979</v>
      </c>
      <c r="B37" s="54">
        <v>845.05</v>
      </c>
      <c r="C37" s="54">
        <v>9490.1</v>
      </c>
      <c r="D37" s="54">
        <f t="shared" si="0"/>
        <v>1.8640633527957945E-2</v>
      </c>
      <c r="E37" s="54">
        <f t="shared" si="1"/>
        <v>9.4597567584245815E-3</v>
      </c>
      <c r="F37" s="55">
        <f t="shared" si="2"/>
        <v>2020</v>
      </c>
    </row>
    <row r="38" spans="1:6" x14ac:dyDescent="0.35">
      <c r="A38" s="69">
        <v>43980</v>
      </c>
      <c r="B38" s="54">
        <v>860.95</v>
      </c>
      <c r="C38" s="54">
        <v>9580.2999999999993</v>
      </c>
      <c r="D38" s="54">
        <f t="shared" si="0"/>
        <v>-5.0069969532133083E-3</v>
      </c>
      <c r="E38" s="54">
        <f t="shared" si="1"/>
        <v>2.5338292519217084E-2</v>
      </c>
      <c r="F38" s="55">
        <f t="shared" si="2"/>
        <v>2020</v>
      </c>
    </row>
    <row r="39" spans="1:6" x14ac:dyDescent="0.35">
      <c r="A39" s="69">
        <v>43983</v>
      </c>
      <c r="B39" s="54">
        <v>856.65</v>
      </c>
      <c r="C39" s="54">
        <v>9826.15</v>
      </c>
      <c r="D39" s="54">
        <f t="shared" si="0"/>
        <v>2.3306506336320084E-2</v>
      </c>
      <c r="E39" s="54">
        <f t="shared" si="1"/>
        <v>1.5445706644400328E-2</v>
      </c>
      <c r="F39" s="55">
        <f t="shared" si="2"/>
        <v>2020</v>
      </c>
    </row>
    <row r="40" spans="1:6" x14ac:dyDescent="0.35">
      <c r="A40" s="69">
        <v>43984</v>
      </c>
      <c r="B40" s="54">
        <v>876.85</v>
      </c>
      <c r="C40" s="54">
        <v>9979.1</v>
      </c>
      <c r="D40" s="54">
        <f t="shared" si="0"/>
        <v>5.7994249421844824E-3</v>
      </c>
      <c r="E40" s="54">
        <f t="shared" si="1"/>
        <v>8.2283224537368568E-3</v>
      </c>
      <c r="F40" s="55">
        <f t="shared" si="2"/>
        <v>2020</v>
      </c>
    </row>
    <row r="41" spans="1:6" x14ac:dyDescent="0.35">
      <c r="A41" s="69">
        <v>43985</v>
      </c>
      <c r="B41" s="54">
        <v>881.95</v>
      </c>
      <c r="C41" s="54">
        <v>10061.549999999999</v>
      </c>
      <c r="D41" s="54">
        <f t="shared" si="0"/>
        <v>-1.8158093850329901E-3</v>
      </c>
      <c r="E41" s="54">
        <f t="shared" si="1"/>
        <v>-3.2303612096776253E-3</v>
      </c>
      <c r="F41" s="55">
        <f t="shared" si="2"/>
        <v>2020</v>
      </c>
    </row>
    <row r="42" spans="1:6" x14ac:dyDescent="0.35">
      <c r="A42" s="69">
        <v>43986</v>
      </c>
      <c r="B42" s="54">
        <v>880.35</v>
      </c>
      <c r="C42" s="54">
        <v>10029.1</v>
      </c>
      <c r="D42" s="54">
        <f t="shared" si="0"/>
        <v>5.1102973601696187E-4</v>
      </c>
      <c r="E42" s="54">
        <f t="shared" si="1"/>
        <v>1.120914010549148E-2</v>
      </c>
      <c r="F42" s="55">
        <f t="shared" si="2"/>
        <v>2020</v>
      </c>
    </row>
    <row r="43" spans="1:6" x14ac:dyDescent="0.35">
      <c r="A43" s="69">
        <v>43987</v>
      </c>
      <c r="B43" s="54">
        <v>880.8</v>
      </c>
      <c r="C43" s="54">
        <v>10142.15</v>
      </c>
      <c r="D43" s="54">
        <f t="shared" si="0"/>
        <v>1.1401602318127877E-2</v>
      </c>
      <c r="E43" s="54">
        <f t="shared" si="1"/>
        <v>2.4914339117400133E-3</v>
      </c>
      <c r="F43" s="55">
        <f t="shared" si="2"/>
        <v>2020</v>
      </c>
    </row>
    <row r="44" spans="1:6" x14ac:dyDescent="0.35">
      <c r="A44" s="69">
        <v>43990</v>
      </c>
      <c r="B44" s="54">
        <v>890.9</v>
      </c>
      <c r="C44" s="54">
        <v>10167.450000000001</v>
      </c>
      <c r="D44" s="54">
        <f t="shared" si="0"/>
        <v>-4.8382654156449044E-3</v>
      </c>
      <c r="E44" s="54">
        <f t="shared" si="1"/>
        <v>-1.1952195553601492E-2</v>
      </c>
      <c r="F44" s="55">
        <f t="shared" si="2"/>
        <v>2020</v>
      </c>
    </row>
    <row r="45" spans="1:6" x14ac:dyDescent="0.35">
      <c r="A45" s="69">
        <v>43991</v>
      </c>
      <c r="B45" s="54">
        <v>886.6</v>
      </c>
      <c r="C45" s="54">
        <v>10046.65</v>
      </c>
      <c r="D45" s="54">
        <f t="shared" si="0"/>
        <v>9.8207809718155164E-3</v>
      </c>
      <c r="E45" s="54">
        <f t="shared" si="1"/>
        <v>6.8939110891929863E-3</v>
      </c>
      <c r="F45" s="55">
        <f t="shared" si="2"/>
        <v>2020</v>
      </c>
    </row>
    <row r="46" spans="1:6" x14ac:dyDescent="0.35">
      <c r="A46" s="69">
        <v>43992</v>
      </c>
      <c r="B46" s="54">
        <v>895.35</v>
      </c>
      <c r="C46" s="54">
        <v>10116.15</v>
      </c>
      <c r="D46" s="54">
        <f t="shared" si="0"/>
        <v>-3.2925719325912872E-2</v>
      </c>
      <c r="E46" s="54">
        <f t="shared" si="1"/>
        <v>-2.139639975380881E-2</v>
      </c>
      <c r="F46" s="55">
        <f t="shared" si="2"/>
        <v>2020</v>
      </c>
    </row>
    <row r="47" spans="1:6" x14ac:dyDescent="0.35">
      <c r="A47" s="69">
        <v>43993</v>
      </c>
      <c r="B47" s="54">
        <v>866.35</v>
      </c>
      <c r="C47" s="54">
        <v>9902</v>
      </c>
      <c r="D47" s="54">
        <f t="shared" si="0"/>
        <v>-8.8693662784166821E-3</v>
      </c>
      <c r="E47" s="54">
        <f t="shared" si="1"/>
        <v>7.1346573571307781E-3</v>
      </c>
      <c r="F47" s="55">
        <f t="shared" si="2"/>
        <v>2020</v>
      </c>
    </row>
    <row r="48" spans="1:6" x14ac:dyDescent="0.35">
      <c r="A48" s="69">
        <v>43994</v>
      </c>
      <c r="B48" s="54">
        <v>858.7</v>
      </c>
      <c r="C48" s="54">
        <v>9972.9</v>
      </c>
      <c r="D48" s="54">
        <f t="shared" si="0"/>
        <v>-1.1069359398799626E-3</v>
      </c>
      <c r="E48" s="54">
        <f t="shared" si="1"/>
        <v>-1.6092045671383177E-2</v>
      </c>
      <c r="F48" s="55">
        <f t="shared" si="2"/>
        <v>2020</v>
      </c>
    </row>
    <row r="49" spans="1:6" x14ac:dyDescent="0.35">
      <c r="A49" s="69">
        <v>43997</v>
      </c>
      <c r="B49" s="54">
        <v>857.75</v>
      </c>
      <c r="C49" s="54">
        <v>9813.7000000000007</v>
      </c>
      <c r="D49" s="54">
        <f t="shared" si="0"/>
        <v>-1.9542678573389746E-2</v>
      </c>
      <c r="E49" s="54">
        <f t="shared" si="1"/>
        <v>1.0168530973403287E-2</v>
      </c>
      <c r="F49" s="55">
        <f t="shared" si="2"/>
        <v>2020</v>
      </c>
    </row>
    <row r="50" spans="1:6" x14ac:dyDescent="0.35">
      <c r="A50" s="69">
        <v>43998</v>
      </c>
      <c r="B50" s="54">
        <v>841.15</v>
      </c>
      <c r="C50" s="54">
        <v>9914</v>
      </c>
      <c r="D50" s="54">
        <f t="shared" si="0"/>
        <v>4.7542640700569167E-4</v>
      </c>
      <c r="E50" s="54">
        <f t="shared" si="1"/>
        <v>-3.3189978510494772E-3</v>
      </c>
      <c r="F50" s="55">
        <f t="shared" si="2"/>
        <v>2020</v>
      </c>
    </row>
    <row r="51" spans="1:6" x14ac:dyDescent="0.35">
      <c r="A51" s="69">
        <v>43999</v>
      </c>
      <c r="B51" s="54">
        <v>841.55</v>
      </c>
      <c r="C51" s="54">
        <v>9881.15</v>
      </c>
      <c r="D51" s="54">
        <f t="shared" si="0"/>
        <v>1.9650002765626305E-2</v>
      </c>
      <c r="E51" s="54">
        <f t="shared" si="1"/>
        <v>2.1079447494686824E-2</v>
      </c>
      <c r="F51" s="55">
        <f t="shared" si="2"/>
        <v>2020</v>
      </c>
    </row>
    <row r="52" spans="1:6" x14ac:dyDescent="0.35">
      <c r="A52" s="69">
        <v>44000</v>
      </c>
      <c r="B52" s="54">
        <v>858.25</v>
      </c>
      <c r="C52" s="54">
        <v>10091.65</v>
      </c>
      <c r="D52" s="54">
        <f t="shared" si="0"/>
        <v>-2.1314985013850481E-2</v>
      </c>
      <c r="E52" s="54">
        <f t="shared" si="1"/>
        <v>1.5022865580104622E-2</v>
      </c>
      <c r="F52" s="55">
        <f t="shared" si="2"/>
        <v>2020</v>
      </c>
    </row>
    <row r="53" spans="1:6" x14ac:dyDescent="0.35">
      <c r="A53" s="69">
        <v>44001</v>
      </c>
      <c r="B53" s="54">
        <v>840.15</v>
      </c>
      <c r="C53" s="54">
        <v>10244.4</v>
      </c>
      <c r="D53" s="54">
        <f t="shared" si="0"/>
        <v>1.1832357179543731E-2</v>
      </c>
      <c r="E53" s="54">
        <f t="shared" si="1"/>
        <v>6.4994682863088122E-3</v>
      </c>
      <c r="F53" s="55">
        <f t="shared" si="2"/>
        <v>2020</v>
      </c>
    </row>
    <row r="54" spans="1:6" x14ac:dyDescent="0.35">
      <c r="A54" s="69">
        <v>44004</v>
      </c>
      <c r="B54" s="54">
        <v>850.15</v>
      </c>
      <c r="C54" s="54">
        <v>10311.200000000001</v>
      </c>
      <c r="D54" s="54">
        <f t="shared" si="0"/>
        <v>6.15639128931352E-3</v>
      </c>
      <c r="E54" s="54">
        <f t="shared" si="1"/>
        <v>1.5378848196892156E-2</v>
      </c>
      <c r="F54" s="55">
        <f t="shared" si="2"/>
        <v>2020</v>
      </c>
    </row>
    <row r="55" spans="1:6" x14ac:dyDescent="0.35">
      <c r="A55" s="69">
        <v>44005</v>
      </c>
      <c r="B55" s="54">
        <v>855.4</v>
      </c>
      <c r="C55" s="54">
        <v>10471</v>
      </c>
      <c r="D55" s="54">
        <f t="shared" si="0"/>
        <v>9.0192924697496367E-3</v>
      </c>
      <c r="E55" s="54">
        <f t="shared" si="1"/>
        <v>-1.5951205305137297E-2</v>
      </c>
      <c r="F55" s="55">
        <f t="shared" si="2"/>
        <v>2020</v>
      </c>
    </row>
    <row r="56" spans="1:6" x14ac:dyDescent="0.35">
      <c r="A56" s="69">
        <v>44006</v>
      </c>
      <c r="B56" s="54">
        <v>863.15</v>
      </c>
      <c r="C56" s="54">
        <v>10305.299999999999</v>
      </c>
      <c r="D56" s="54">
        <f t="shared" si="0"/>
        <v>1.071685758168121E-2</v>
      </c>
      <c r="E56" s="54">
        <f t="shared" si="1"/>
        <v>-1.5926817712496291E-3</v>
      </c>
      <c r="F56" s="55">
        <f t="shared" si="2"/>
        <v>2020</v>
      </c>
    </row>
    <row r="57" spans="1:6" x14ac:dyDescent="0.35">
      <c r="A57" s="69">
        <v>44007</v>
      </c>
      <c r="B57" s="54">
        <v>872.45</v>
      </c>
      <c r="C57" s="54">
        <v>10288.9</v>
      </c>
      <c r="D57" s="54">
        <f t="shared" si="0"/>
        <v>2.3225242423269756E-2</v>
      </c>
      <c r="E57" s="54">
        <f t="shared" si="1"/>
        <v>9.1042090923787473E-3</v>
      </c>
      <c r="F57" s="55">
        <f t="shared" si="2"/>
        <v>2020</v>
      </c>
    </row>
    <row r="58" spans="1:6" x14ac:dyDescent="0.35">
      <c r="A58" s="69">
        <v>44008</v>
      </c>
      <c r="B58" s="54">
        <v>892.95</v>
      </c>
      <c r="C58" s="54">
        <v>10383</v>
      </c>
      <c r="D58" s="54">
        <f t="shared" si="0"/>
        <v>1.500528320816851E-2</v>
      </c>
      <c r="E58" s="54">
        <f t="shared" si="1"/>
        <v>-6.8227986772304633E-3</v>
      </c>
      <c r="F58" s="55">
        <f t="shared" si="2"/>
        <v>2020</v>
      </c>
    </row>
    <row r="59" spans="1:6" x14ac:dyDescent="0.35">
      <c r="A59" s="69">
        <v>44011</v>
      </c>
      <c r="B59" s="54">
        <v>906.45</v>
      </c>
      <c r="C59" s="54">
        <v>10312.4</v>
      </c>
      <c r="D59" s="54">
        <f t="shared" si="0"/>
        <v>-3.1035428350802585E-2</v>
      </c>
      <c r="E59" s="54">
        <f t="shared" si="1"/>
        <v>-9.9929669476585162E-4</v>
      </c>
      <c r="F59" s="55">
        <f t="shared" si="2"/>
        <v>2020</v>
      </c>
    </row>
    <row r="60" spans="1:6" x14ac:dyDescent="0.35">
      <c r="A60" s="69">
        <v>44012</v>
      </c>
      <c r="B60" s="54">
        <v>878.75</v>
      </c>
      <c r="C60" s="54">
        <v>10302.1</v>
      </c>
      <c r="D60" s="54">
        <f t="shared" si="0"/>
        <v>3.6916128819165579E-3</v>
      </c>
      <c r="E60" s="54">
        <f t="shared" si="1"/>
        <v>1.2343304915724197E-2</v>
      </c>
      <c r="F60" s="55">
        <f t="shared" si="2"/>
        <v>2020</v>
      </c>
    </row>
    <row r="61" spans="1:6" x14ac:dyDescent="0.35">
      <c r="A61" s="69">
        <v>44013</v>
      </c>
      <c r="B61" s="54">
        <v>882</v>
      </c>
      <c r="C61" s="54">
        <v>10430.049999999999</v>
      </c>
      <c r="D61" s="54">
        <f t="shared" si="0"/>
        <v>-1.358390843481252E-2</v>
      </c>
      <c r="E61" s="54">
        <f t="shared" si="1"/>
        <v>1.1595921516546171E-2</v>
      </c>
      <c r="F61" s="55">
        <f t="shared" si="2"/>
        <v>2020</v>
      </c>
    </row>
    <row r="62" spans="1:6" x14ac:dyDescent="0.35">
      <c r="A62" s="69">
        <v>44014</v>
      </c>
      <c r="B62" s="54">
        <v>870.1</v>
      </c>
      <c r="C62" s="54">
        <v>10551.7</v>
      </c>
      <c r="D62" s="54">
        <f t="shared" si="0"/>
        <v>1.8785774738974383E-2</v>
      </c>
      <c r="E62" s="54">
        <f t="shared" si="1"/>
        <v>5.2601726747523682E-3</v>
      </c>
      <c r="F62" s="55">
        <f t="shared" si="2"/>
        <v>2020</v>
      </c>
    </row>
    <row r="63" spans="1:6" x14ac:dyDescent="0.35">
      <c r="A63" s="69">
        <v>44015</v>
      </c>
      <c r="B63" s="54">
        <v>886.6</v>
      </c>
      <c r="C63" s="54">
        <v>10607.35</v>
      </c>
      <c r="D63" s="54">
        <f t="shared" si="0"/>
        <v>2.6984307165884687E-2</v>
      </c>
      <c r="E63" s="54">
        <f t="shared" si="1"/>
        <v>1.4627559486280819E-2</v>
      </c>
      <c r="F63" s="55">
        <f t="shared" si="2"/>
        <v>2020</v>
      </c>
    </row>
    <row r="64" spans="1:6" x14ac:dyDescent="0.35">
      <c r="A64" s="69">
        <v>44018</v>
      </c>
      <c r="B64" s="54">
        <v>910.85</v>
      </c>
      <c r="C64" s="54">
        <v>10763.65</v>
      </c>
      <c r="D64" s="54">
        <f t="shared" si="0"/>
        <v>1.2871734845649048E-2</v>
      </c>
      <c r="E64" s="54">
        <f t="shared" si="1"/>
        <v>3.3390096550110133E-3</v>
      </c>
      <c r="F64" s="55">
        <f t="shared" si="2"/>
        <v>2020</v>
      </c>
    </row>
    <row r="65" spans="1:6" x14ac:dyDescent="0.35">
      <c r="A65" s="69">
        <v>44019</v>
      </c>
      <c r="B65" s="54">
        <v>922.65</v>
      </c>
      <c r="C65" s="54">
        <v>10799.65</v>
      </c>
      <c r="D65" s="54">
        <f t="shared" si="0"/>
        <v>-1.3557118206703215E-3</v>
      </c>
      <c r="E65" s="54">
        <f t="shared" si="1"/>
        <v>-8.7327458908366285E-3</v>
      </c>
      <c r="F65" s="55">
        <f t="shared" si="2"/>
        <v>2020</v>
      </c>
    </row>
    <row r="66" spans="1:6" x14ac:dyDescent="0.35">
      <c r="A66" s="69">
        <v>44020</v>
      </c>
      <c r="B66" s="54">
        <v>921.4</v>
      </c>
      <c r="C66" s="54">
        <v>10705.75</v>
      </c>
      <c r="D66" s="54">
        <f t="shared" ref="D66:D129" si="3">LN(B67/B66)</f>
        <v>-1.9728829281312837E-2</v>
      </c>
      <c r="E66" s="54">
        <f t="shared" ref="E66:E129" si="4">LN(C67/C66)</f>
        <v>1.000974936330002E-2</v>
      </c>
      <c r="F66" s="55">
        <f t="shared" ref="F66:F129" si="5">YEAR(A66)</f>
        <v>2020</v>
      </c>
    </row>
    <row r="67" spans="1:6" x14ac:dyDescent="0.35">
      <c r="A67" s="69">
        <v>44021</v>
      </c>
      <c r="B67" s="54">
        <v>903.4</v>
      </c>
      <c r="C67" s="54">
        <v>10813.45</v>
      </c>
      <c r="D67" s="54">
        <f t="shared" si="3"/>
        <v>1.7283906708376935E-2</v>
      </c>
      <c r="E67" s="54">
        <f t="shared" si="4"/>
        <v>-4.2073133906914339E-3</v>
      </c>
      <c r="F67" s="55">
        <f t="shared" si="5"/>
        <v>2020</v>
      </c>
    </row>
    <row r="68" spans="1:6" x14ac:dyDescent="0.35">
      <c r="A68" s="69">
        <v>44022</v>
      </c>
      <c r="B68" s="54">
        <v>919.15</v>
      </c>
      <c r="C68" s="54">
        <v>10768.05</v>
      </c>
      <c r="D68" s="54">
        <f t="shared" si="3"/>
        <v>4.8838820757655752E-3</v>
      </c>
      <c r="E68" s="54">
        <f t="shared" si="4"/>
        <v>3.2126866059741998E-3</v>
      </c>
      <c r="F68" s="55">
        <f t="shared" si="5"/>
        <v>2020</v>
      </c>
    </row>
    <row r="69" spans="1:6" x14ac:dyDescent="0.35">
      <c r="A69" s="69">
        <v>44025</v>
      </c>
      <c r="B69" s="54">
        <v>923.65</v>
      </c>
      <c r="C69" s="54">
        <v>10802.7</v>
      </c>
      <c r="D69" s="54">
        <f t="shared" si="3"/>
        <v>1.0661311406698435E-2</v>
      </c>
      <c r="E69" s="54">
        <f t="shared" si="4"/>
        <v>-1.8248945829038105E-2</v>
      </c>
      <c r="F69" s="55">
        <f t="shared" si="5"/>
        <v>2020</v>
      </c>
    </row>
    <row r="70" spans="1:6" x14ac:dyDescent="0.35">
      <c r="A70" s="69">
        <v>44026</v>
      </c>
      <c r="B70" s="54">
        <v>933.55</v>
      </c>
      <c r="C70" s="54">
        <v>10607.35</v>
      </c>
      <c r="D70" s="54">
        <f t="shared" si="3"/>
        <v>6.2792983791000734E-2</v>
      </c>
      <c r="E70" s="54">
        <f t="shared" si="4"/>
        <v>1.0223528667139743E-3</v>
      </c>
      <c r="F70" s="55">
        <f t="shared" si="5"/>
        <v>2020</v>
      </c>
    </row>
    <row r="71" spans="1:6" x14ac:dyDescent="0.35">
      <c r="A71" s="69">
        <v>44027</v>
      </c>
      <c r="B71" s="54">
        <v>994.05</v>
      </c>
      <c r="C71" s="54">
        <v>10618.2</v>
      </c>
      <c r="D71" s="54">
        <f t="shared" si="3"/>
        <v>3.6739430446545242E-2</v>
      </c>
      <c r="E71" s="54">
        <f t="shared" si="4"/>
        <v>1.1400923653342283E-2</v>
      </c>
      <c r="F71" s="55">
        <f t="shared" si="5"/>
        <v>2020</v>
      </c>
    </row>
    <row r="72" spans="1:6" x14ac:dyDescent="0.35">
      <c r="A72" s="69">
        <v>44028</v>
      </c>
      <c r="B72" s="54">
        <v>1031.25</v>
      </c>
      <c r="C72" s="54">
        <v>10739.95</v>
      </c>
      <c r="D72" s="54">
        <f t="shared" si="3"/>
        <v>-3.3425176132317096E-2</v>
      </c>
      <c r="E72" s="54">
        <f t="shared" si="4"/>
        <v>1.4948306800439333E-2</v>
      </c>
      <c r="F72" s="55">
        <f t="shared" si="5"/>
        <v>2020</v>
      </c>
    </row>
    <row r="73" spans="1:6" x14ac:dyDescent="0.35">
      <c r="A73" s="69">
        <v>44029</v>
      </c>
      <c r="B73" s="54">
        <v>997.35</v>
      </c>
      <c r="C73" s="54">
        <v>10901.7</v>
      </c>
      <c r="D73" s="54">
        <f t="shared" si="3"/>
        <v>8.0887199555028204E-3</v>
      </c>
      <c r="E73" s="54">
        <f t="shared" si="4"/>
        <v>1.0992680446704291E-2</v>
      </c>
      <c r="F73" s="55">
        <f t="shared" si="5"/>
        <v>2020</v>
      </c>
    </row>
    <row r="74" spans="1:6" x14ac:dyDescent="0.35">
      <c r="A74" s="69">
        <v>44032</v>
      </c>
      <c r="B74" s="54">
        <v>1005.45</v>
      </c>
      <c r="C74" s="54">
        <v>11022.2</v>
      </c>
      <c r="D74" s="54">
        <f t="shared" si="3"/>
        <v>-2.7374110008693362E-2</v>
      </c>
      <c r="E74" s="54">
        <f t="shared" si="4"/>
        <v>1.2626128711697352E-2</v>
      </c>
      <c r="F74" s="55">
        <f t="shared" si="5"/>
        <v>2020</v>
      </c>
    </row>
    <row r="75" spans="1:6" x14ac:dyDescent="0.35">
      <c r="A75" s="69">
        <v>44033</v>
      </c>
      <c r="B75" s="54">
        <v>978.3</v>
      </c>
      <c r="C75" s="54">
        <v>11162.25</v>
      </c>
      <c r="D75" s="54">
        <f t="shared" si="3"/>
        <v>1.7026863157733448E-2</v>
      </c>
      <c r="E75" s="54">
        <f t="shared" si="4"/>
        <v>-2.6598086535778794E-3</v>
      </c>
      <c r="F75" s="55">
        <f t="shared" si="5"/>
        <v>2020</v>
      </c>
    </row>
    <row r="76" spans="1:6" x14ac:dyDescent="0.35">
      <c r="A76" s="69">
        <v>44034</v>
      </c>
      <c r="B76" s="54">
        <v>995.1</v>
      </c>
      <c r="C76" s="54">
        <v>11132.6</v>
      </c>
      <c r="D76" s="54">
        <f t="shared" si="3"/>
        <v>-1.5698909543103753E-2</v>
      </c>
      <c r="E76" s="54">
        <f t="shared" si="4"/>
        <v>7.414551118342539E-3</v>
      </c>
      <c r="F76" s="55">
        <f t="shared" si="5"/>
        <v>2020</v>
      </c>
    </row>
    <row r="77" spans="1:6" x14ac:dyDescent="0.35">
      <c r="A77" s="69">
        <v>44035</v>
      </c>
      <c r="B77" s="54">
        <v>979.6</v>
      </c>
      <c r="C77" s="54">
        <v>11215.45</v>
      </c>
      <c r="D77" s="54">
        <f t="shared" si="3"/>
        <v>0.13125747399118795</v>
      </c>
      <c r="E77" s="54">
        <f t="shared" si="4"/>
        <v>-1.9009715848837335E-3</v>
      </c>
      <c r="F77" s="55">
        <f t="shared" si="5"/>
        <v>2020</v>
      </c>
    </row>
    <row r="78" spans="1:6" x14ac:dyDescent="0.35">
      <c r="A78" s="69">
        <v>44036</v>
      </c>
      <c r="B78" s="54">
        <v>1117</v>
      </c>
      <c r="C78" s="54">
        <v>11194.15</v>
      </c>
      <c r="D78" s="54">
        <f t="shared" si="3"/>
        <v>8.7796093954738141E-3</v>
      </c>
      <c r="E78" s="54">
        <f t="shared" si="4"/>
        <v>-5.5854431363716118E-3</v>
      </c>
      <c r="F78" s="55">
        <f t="shared" si="5"/>
        <v>2020</v>
      </c>
    </row>
    <row r="79" spans="1:6" x14ac:dyDescent="0.35">
      <c r="A79" s="69">
        <v>44039</v>
      </c>
      <c r="B79" s="54">
        <v>1126.8499999999999</v>
      </c>
      <c r="C79" s="54">
        <v>11131.8</v>
      </c>
      <c r="D79" s="54">
        <f t="shared" si="3"/>
        <v>3.2779803406793685E-2</v>
      </c>
      <c r="E79" s="54">
        <f t="shared" si="4"/>
        <v>1.504551982144569E-2</v>
      </c>
      <c r="F79" s="55">
        <f t="shared" si="5"/>
        <v>2020</v>
      </c>
    </row>
    <row r="80" spans="1:6" x14ac:dyDescent="0.35">
      <c r="A80" s="69">
        <v>44040</v>
      </c>
      <c r="B80" s="54">
        <v>1164.4000000000001</v>
      </c>
      <c r="C80" s="54">
        <v>11300.55</v>
      </c>
      <c r="D80" s="54">
        <f t="shared" si="3"/>
        <v>-1.9381039776825332E-2</v>
      </c>
      <c r="E80" s="54">
        <f t="shared" si="4"/>
        <v>-8.6831868839774111E-3</v>
      </c>
      <c r="F80" s="55">
        <f t="shared" si="5"/>
        <v>2020</v>
      </c>
    </row>
    <row r="81" spans="1:6" x14ac:dyDescent="0.35">
      <c r="A81" s="69">
        <v>44041</v>
      </c>
      <c r="B81" s="54">
        <v>1142.05</v>
      </c>
      <c r="C81" s="54">
        <v>11202.85</v>
      </c>
      <c r="D81" s="54">
        <f t="shared" si="3"/>
        <v>1.1448596043919006E-2</v>
      </c>
      <c r="E81" s="54">
        <f t="shared" si="4"/>
        <v>-9.0294269604375872E-3</v>
      </c>
      <c r="F81" s="55">
        <f t="shared" si="5"/>
        <v>2020</v>
      </c>
    </row>
    <row r="82" spans="1:6" x14ac:dyDescent="0.35">
      <c r="A82" s="69">
        <v>44042</v>
      </c>
      <c r="B82" s="54">
        <v>1155.2</v>
      </c>
      <c r="C82" s="54">
        <v>11102.15</v>
      </c>
      <c r="D82" s="54">
        <f t="shared" si="3"/>
        <v>2.3777111692678313E-3</v>
      </c>
      <c r="E82" s="54">
        <f t="shared" si="4"/>
        <v>-2.5884319724486563E-3</v>
      </c>
      <c r="F82" s="55">
        <f t="shared" si="5"/>
        <v>2020</v>
      </c>
    </row>
    <row r="83" spans="1:6" x14ac:dyDescent="0.35">
      <c r="A83" s="69">
        <v>44043</v>
      </c>
      <c r="B83" s="54">
        <v>1157.95</v>
      </c>
      <c r="C83" s="54">
        <v>11073.45</v>
      </c>
      <c r="D83" s="54">
        <f t="shared" si="3"/>
        <v>-1.1595969332827931E-2</v>
      </c>
      <c r="E83" s="54">
        <f t="shared" si="4"/>
        <v>-1.6558501347417372E-2</v>
      </c>
      <c r="F83" s="55">
        <f t="shared" si="5"/>
        <v>2020</v>
      </c>
    </row>
    <row r="84" spans="1:6" x14ac:dyDescent="0.35">
      <c r="A84" s="69">
        <v>44046</v>
      </c>
      <c r="B84" s="54">
        <v>1144.5999999999999</v>
      </c>
      <c r="C84" s="54">
        <v>10891.6</v>
      </c>
      <c r="D84" s="54">
        <f t="shared" si="3"/>
        <v>-3.6251161934284168E-2</v>
      </c>
      <c r="E84" s="54">
        <f t="shared" si="4"/>
        <v>1.8525238867160679E-2</v>
      </c>
      <c r="F84" s="55">
        <f t="shared" si="5"/>
        <v>2020</v>
      </c>
    </row>
    <row r="85" spans="1:6" x14ac:dyDescent="0.35">
      <c r="A85" s="69">
        <v>44047</v>
      </c>
      <c r="B85" s="54">
        <v>1103.8499999999999</v>
      </c>
      <c r="C85" s="54">
        <v>11095.25</v>
      </c>
      <c r="D85" s="54">
        <f t="shared" si="3"/>
        <v>2.9808998409395826E-2</v>
      </c>
      <c r="E85" s="54">
        <f t="shared" si="4"/>
        <v>5.7665711674614829E-4</v>
      </c>
      <c r="F85" s="55">
        <f t="shared" si="5"/>
        <v>2020</v>
      </c>
    </row>
    <row r="86" spans="1:6" x14ac:dyDescent="0.35">
      <c r="A86" s="69">
        <v>44048</v>
      </c>
      <c r="B86" s="54">
        <v>1137.25</v>
      </c>
      <c r="C86" s="54">
        <v>11101.65</v>
      </c>
      <c r="D86" s="54">
        <f t="shared" si="3"/>
        <v>2.9885290352702116E-2</v>
      </c>
      <c r="E86" s="54">
        <f t="shared" si="4"/>
        <v>8.8334251486867181E-3</v>
      </c>
      <c r="F86" s="55">
        <f t="shared" si="5"/>
        <v>2020</v>
      </c>
    </row>
    <row r="87" spans="1:6" x14ac:dyDescent="0.35">
      <c r="A87" s="69">
        <v>44049</v>
      </c>
      <c r="B87" s="54">
        <v>1171.75</v>
      </c>
      <c r="C87" s="54">
        <v>11200.15</v>
      </c>
      <c r="D87" s="54">
        <f t="shared" si="3"/>
        <v>-6.2924249313472298E-3</v>
      </c>
      <c r="E87" s="54">
        <f t="shared" si="4"/>
        <v>1.2402853353563766E-3</v>
      </c>
      <c r="F87" s="55">
        <f t="shared" si="5"/>
        <v>2020</v>
      </c>
    </row>
    <row r="88" spans="1:6" x14ac:dyDescent="0.35">
      <c r="A88" s="69">
        <v>44050</v>
      </c>
      <c r="B88" s="54">
        <v>1164.4000000000001</v>
      </c>
      <c r="C88" s="54">
        <v>11214.05</v>
      </c>
      <c r="D88" s="54">
        <f t="shared" si="3"/>
        <v>1.4070926735767762E-2</v>
      </c>
      <c r="E88" s="54">
        <f t="shared" si="4"/>
        <v>4.9901812309422651E-3</v>
      </c>
      <c r="F88" s="55">
        <f t="shared" si="5"/>
        <v>2020</v>
      </c>
    </row>
    <row r="89" spans="1:6" x14ac:dyDescent="0.35">
      <c r="A89" s="69">
        <v>44053</v>
      </c>
      <c r="B89" s="54">
        <v>1180.9000000000001</v>
      </c>
      <c r="C89" s="54">
        <v>11270.15</v>
      </c>
      <c r="D89" s="54">
        <f t="shared" si="3"/>
        <v>2.3185805320222051E-2</v>
      </c>
      <c r="E89" s="54">
        <f t="shared" si="4"/>
        <v>4.6342588134252122E-3</v>
      </c>
      <c r="F89" s="55">
        <f t="shared" si="5"/>
        <v>2020</v>
      </c>
    </row>
    <row r="90" spans="1:6" x14ac:dyDescent="0.35">
      <c r="A90" s="69">
        <v>44054</v>
      </c>
      <c r="B90" s="54">
        <v>1208.5999999999999</v>
      </c>
      <c r="C90" s="54">
        <v>11322.5</v>
      </c>
      <c r="D90" s="54">
        <f t="shared" si="3"/>
        <v>-3.8760782531827888E-2</v>
      </c>
      <c r="E90" s="54">
        <f t="shared" si="4"/>
        <v>-1.246084055380327E-3</v>
      </c>
      <c r="F90" s="55">
        <f t="shared" si="5"/>
        <v>2020</v>
      </c>
    </row>
    <row r="91" spans="1:6" x14ac:dyDescent="0.35">
      <c r="A91" s="69">
        <v>44055</v>
      </c>
      <c r="B91" s="54">
        <v>1162.6500000000001</v>
      </c>
      <c r="C91" s="54">
        <v>11308.4</v>
      </c>
      <c r="D91" s="54">
        <f t="shared" si="3"/>
        <v>3.2077902711155376E-2</v>
      </c>
      <c r="E91" s="54">
        <f t="shared" si="4"/>
        <v>-7.0326445862201709E-4</v>
      </c>
      <c r="F91" s="55">
        <f t="shared" si="5"/>
        <v>2020</v>
      </c>
    </row>
    <row r="92" spans="1:6" x14ac:dyDescent="0.35">
      <c r="A92" s="69">
        <v>44056</v>
      </c>
      <c r="B92" s="54">
        <v>1200.55</v>
      </c>
      <c r="C92" s="54">
        <v>11300.45</v>
      </c>
      <c r="D92" s="54">
        <f t="shared" si="3"/>
        <v>-5.2195454324045001E-3</v>
      </c>
      <c r="E92" s="54">
        <f t="shared" si="4"/>
        <v>-1.0859203150128484E-2</v>
      </c>
      <c r="F92" s="55">
        <f t="shared" si="5"/>
        <v>2020</v>
      </c>
    </row>
    <row r="93" spans="1:6" x14ac:dyDescent="0.35">
      <c r="A93" s="69">
        <v>44057</v>
      </c>
      <c r="B93" s="54">
        <v>1194.3</v>
      </c>
      <c r="C93" s="54">
        <v>11178.4</v>
      </c>
      <c r="D93" s="54">
        <f t="shared" si="3"/>
        <v>1.6854564789093775E-2</v>
      </c>
      <c r="E93" s="54">
        <f t="shared" si="4"/>
        <v>6.126972858148093E-3</v>
      </c>
      <c r="F93" s="55">
        <f t="shared" si="5"/>
        <v>2020</v>
      </c>
    </row>
    <row r="94" spans="1:6" x14ac:dyDescent="0.35">
      <c r="A94" s="69">
        <v>44060</v>
      </c>
      <c r="B94" s="54">
        <v>1214.5999999999999</v>
      </c>
      <c r="C94" s="54">
        <v>11247.1</v>
      </c>
      <c r="D94" s="54">
        <f t="shared" si="3"/>
        <v>-1.4178754178404565E-2</v>
      </c>
      <c r="E94" s="54">
        <f t="shared" si="4"/>
        <v>1.2217123605577227E-2</v>
      </c>
      <c r="F94" s="55">
        <f t="shared" si="5"/>
        <v>2020</v>
      </c>
    </row>
    <row r="95" spans="1:6" x14ac:dyDescent="0.35">
      <c r="A95" s="69">
        <v>44061</v>
      </c>
      <c r="B95" s="54">
        <v>1197.5</v>
      </c>
      <c r="C95" s="54">
        <v>11385.35</v>
      </c>
      <c r="D95" s="54">
        <f t="shared" si="3"/>
        <v>4.9148335011811681E-3</v>
      </c>
      <c r="E95" s="54">
        <f t="shared" si="4"/>
        <v>2.0224849230216792E-3</v>
      </c>
      <c r="F95" s="55">
        <f t="shared" si="5"/>
        <v>2020</v>
      </c>
    </row>
    <row r="96" spans="1:6" x14ac:dyDescent="0.35">
      <c r="A96" s="69">
        <v>44062</v>
      </c>
      <c r="B96" s="54">
        <v>1203.4000000000001</v>
      </c>
      <c r="C96" s="54">
        <v>11408.4</v>
      </c>
      <c r="D96" s="54">
        <f t="shared" si="3"/>
        <v>-6.2936542013777548E-3</v>
      </c>
      <c r="E96" s="54">
        <f t="shared" si="4"/>
        <v>-8.4681368334637991E-3</v>
      </c>
      <c r="F96" s="55">
        <f t="shared" si="5"/>
        <v>2020</v>
      </c>
    </row>
    <row r="97" spans="1:6" x14ac:dyDescent="0.35">
      <c r="A97" s="69">
        <v>44063</v>
      </c>
      <c r="B97" s="54">
        <v>1195.8499999999999</v>
      </c>
      <c r="C97" s="54">
        <v>11312.2</v>
      </c>
      <c r="D97" s="54">
        <f t="shared" si="3"/>
        <v>2.6306464426405886E-3</v>
      </c>
      <c r="E97" s="54">
        <f t="shared" si="4"/>
        <v>5.2372297208920626E-3</v>
      </c>
      <c r="F97" s="55">
        <f t="shared" si="5"/>
        <v>2020</v>
      </c>
    </row>
    <row r="98" spans="1:6" x14ac:dyDescent="0.35">
      <c r="A98" s="69">
        <v>44064</v>
      </c>
      <c r="B98" s="54">
        <v>1199</v>
      </c>
      <c r="C98" s="54">
        <v>11371.6</v>
      </c>
      <c r="D98" s="54">
        <f t="shared" si="3"/>
        <v>-8.7611345014519323E-4</v>
      </c>
      <c r="E98" s="54">
        <f t="shared" si="4"/>
        <v>8.3063611256103259E-3</v>
      </c>
      <c r="F98" s="55">
        <f t="shared" si="5"/>
        <v>2020</v>
      </c>
    </row>
    <row r="99" spans="1:6" x14ac:dyDescent="0.35">
      <c r="A99" s="69">
        <v>44067</v>
      </c>
      <c r="B99" s="54">
        <v>1197.95</v>
      </c>
      <c r="C99" s="54">
        <v>11466.45</v>
      </c>
      <c r="D99" s="54">
        <f t="shared" si="3"/>
        <v>-1.4038562769416589E-2</v>
      </c>
      <c r="E99" s="54">
        <f t="shared" si="4"/>
        <v>5.0569562561106503E-4</v>
      </c>
      <c r="F99" s="55">
        <f t="shared" si="5"/>
        <v>2020</v>
      </c>
    </row>
    <row r="100" spans="1:6" x14ac:dyDescent="0.35">
      <c r="A100" s="69">
        <v>44068</v>
      </c>
      <c r="B100" s="54">
        <v>1181.25</v>
      </c>
      <c r="C100" s="54">
        <v>11472.25</v>
      </c>
      <c r="D100" s="54">
        <f t="shared" si="3"/>
        <v>1.579002276677436E-2</v>
      </c>
      <c r="E100" s="54">
        <f t="shared" si="4"/>
        <v>6.7197285239703015E-3</v>
      </c>
      <c r="F100" s="55">
        <f t="shared" si="5"/>
        <v>2020</v>
      </c>
    </row>
    <row r="101" spans="1:6" x14ac:dyDescent="0.35">
      <c r="A101" s="69">
        <v>44069</v>
      </c>
      <c r="B101" s="54">
        <v>1200.05</v>
      </c>
      <c r="C101" s="54">
        <v>11549.6</v>
      </c>
      <c r="D101" s="54">
        <f t="shared" si="3"/>
        <v>-1.6340438768137896E-2</v>
      </c>
      <c r="E101" s="54">
        <f t="shared" si="4"/>
        <v>8.3517791330367671E-4</v>
      </c>
      <c r="F101" s="55">
        <f t="shared" si="5"/>
        <v>2020</v>
      </c>
    </row>
    <row r="102" spans="1:6" x14ac:dyDescent="0.35">
      <c r="A102" s="69">
        <v>44070</v>
      </c>
      <c r="B102" s="54">
        <v>1180.5999999999999</v>
      </c>
      <c r="C102" s="54">
        <v>11559.25</v>
      </c>
      <c r="D102" s="54">
        <f t="shared" si="3"/>
        <v>-1.2915505293910272E-2</v>
      </c>
      <c r="E102" s="54">
        <f t="shared" si="4"/>
        <v>7.614167958564083E-3</v>
      </c>
      <c r="F102" s="55">
        <f t="shared" si="5"/>
        <v>2020</v>
      </c>
    </row>
    <row r="103" spans="1:6" x14ac:dyDescent="0.35">
      <c r="A103" s="69">
        <v>44071</v>
      </c>
      <c r="B103" s="54">
        <v>1165.45</v>
      </c>
      <c r="C103" s="54">
        <v>11647.6</v>
      </c>
      <c r="D103" s="54">
        <f t="shared" si="3"/>
        <v>-5.4529715169547736E-2</v>
      </c>
      <c r="E103" s="54">
        <f t="shared" si="4"/>
        <v>-2.2583887619258884E-2</v>
      </c>
      <c r="F103" s="55">
        <f t="shared" si="5"/>
        <v>2020</v>
      </c>
    </row>
    <row r="104" spans="1:6" x14ac:dyDescent="0.35">
      <c r="A104" s="69">
        <v>44074</v>
      </c>
      <c r="B104" s="54">
        <v>1103.5999999999999</v>
      </c>
      <c r="C104" s="54">
        <v>11387.5</v>
      </c>
      <c r="D104" s="54">
        <f t="shared" si="3"/>
        <v>2.1646933945374307E-2</v>
      </c>
      <c r="E104" s="54">
        <f t="shared" si="4"/>
        <v>7.2404643072113339E-3</v>
      </c>
      <c r="F104" s="55">
        <f t="shared" si="5"/>
        <v>2020</v>
      </c>
    </row>
    <row r="105" spans="1:6" x14ac:dyDescent="0.35">
      <c r="A105" s="69">
        <v>44075</v>
      </c>
      <c r="B105" s="54">
        <v>1127.75</v>
      </c>
      <c r="C105" s="54">
        <v>11470.25</v>
      </c>
      <c r="D105" s="54">
        <f t="shared" si="3"/>
        <v>1.5049126751200837E-2</v>
      </c>
      <c r="E105" s="54">
        <f t="shared" si="4"/>
        <v>5.6291647324288943E-3</v>
      </c>
      <c r="F105" s="55">
        <f t="shared" si="5"/>
        <v>2020</v>
      </c>
    </row>
    <row r="106" spans="1:6" x14ac:dyDescent="0.35">
      <c r="A106" s="69">
        <v>44076</v>
      </c>
      <c r="B106" s="54">
        <v>1144.8499999999999</v>
      </c>
      <c r="C106" s="54">
        <v>11535</v>
      </c>
      <c r="D106" s="54">
        <f t="shared" si="3"/>
        <v>3.4426955546502637E-2</v>
      </c>
      <c r="E106" s="54">
        <f t="shared" si="4"/>
        <v>-6.5474399031464003E-4</v>
      </c>
      <c r="F106" s="55">
        <f t="shared" si="5"/>
        <v>2020</v>
      </c>
    </row>
    <row r="107" spans="1:6" x14ac:dyDescent="0.35">
      <c r="A107" s="69">
        <v>44077</v>
      </c>
      <c r="B107" s="54">
        <v>1184.95</v>
      </c>
      <c r="C107" s="54">
        <v>11527.45</v>
      </c>
      <c r="D107" s="54">
        <f t="shared" si="3"/>
        <v>-3.52133938953198E-2</v>
      </c>
      <c r="E107" s="54">
        <f t="shared" si="4"/>
        <v>-1.6937324491168509E-2</v>
      </c>
      <c r="F107" s="55">
        <f t="shared" si="5"/>
        <v>2020</v>
      </c>
    </row>
    <row r="108" spans="1:6" x14ac:dyDescent="0.35">
      <c r="A108" s="69">
        <v>44078</v>
      </c>
      <c r="B108" s="54">
        <v>1143.95</v>
      </c>
      <c r="C108" s="54">
        <v>11333.85</v>
      </c>
      <c r="D108" s="54">
        <f t="shared" si="3"/>
        <v>4.2742563328231073E-3</v>
      </c>
      <c r="E108" s="54">
        <f t="shared" si="4"/>
        <v>1.8687557501366183E-3</v>
      </c>
      <c r="F108" s="55">
        <f t="shared" si="5"/>
        <v>2020</v>
      </c>
    </row>
    <row r="109" spans="1:6" x14ac:dyDescent="0.35">
      <c r="A109" s="69">
        <v>44081</v>
      </c>
      <c r="B109" s="54">
        <v>1148.8499999999999</v>
      </c>
      <c r="C109" s="54">
        <v>11355.05</v>
      </c>
      <c r="D109" s="54">
        <f t="shared" si="3"/>
        <v>-1.0808077731114217E-2</v>
      </c>
      <c r="E109" s="54">
        <f t="shared" si="4"/>
        <v>-3.3256324646967609E-3</v>
      </c>
      <c r="F109" s="55">
        <f t="shared" si="5"/>
        <v>2020</v>
      </c>
    </row>
    <row r="110" spans="1:6" x14ac:dyDescent="0.35">
      <c r="A110" s="69">
        <v>44082</v>
      </c>
      <c r="B110" s="54">
        <v>1136.5</v>
      </c>
      <c r="C110" s="54">
        <v>11317.35</v>
      </c>
      <c r="D110" s="54">
        <f t="shared" si="3"/>
        <v>5.6155276109545382E-3</v>
      </c>
      <c r="E110" s="54">
        <f t="shared" si="4"/>
        <v>-3.4830210446831823E-3</v>
      </c>
      <c r="F110" s="55">
        <f t="shared" si="5"/>
        <v>2020</v>
      </c>
    </row>
    <row r="111" spans="1:6" x14ac:dyDescent="0.35">
      <c r="A111" s="69">
        <v>44083</v>
      </c>
      <c r="B111" s="54">
        <v>1142.9000000000001</v>
      </c>
      <c r="C111" s="54">
        <v>11278</v>
      </c>
      <c r="D111" s="54">
        <f t="shared" si="3"/>
        <v>5.2360709557667763E-3</v>
      </c>
      <c r="E111" s="54">
        <f t="shared" si="4"/>
        <v>1.507030028649042E-2</v>
      </c>
      <c r="F111" s="55">
        <f t="shared" si="5"/>
        <v>2020</v>
      </c>
    </row>
    <row r="112" spans="1:6" x14ac:dyDescent="0.35">
      <c r="A112" s="69">
        <v>44084</v>
      </c>
      <c r="B112" s="54">
        <v>1148.9000000000001</v>
      </c>
      <c r="C112" s="54">
        <v>11449.25</v>
      </c>
      <c r="D112" s="54">
        <f t="shared" si="3"/>
        <v>4.7324521190139218E-3</v>
      </c>
      <c r="E112" s="54">
        <f t="shared" si="4"/>
        <v>1.3267173987232086E-3</v>
      </c>
      <c r="F112" s="55">
        <f t="shared" si="5"/>
        <v>2020</v>
      </c>
    </row>
    <row r="113" spans="1:6" x14ac:dyDescent="0.35">
      <c r="A113" s="69">
        <v>44085</v>
      </c>
      <c r="B113" s="54">
        <v>1154.3499999999999</v>
      </c>
      <c r="C113" s="54">
        <v>11464.45</v>
      </c>
      <c r="D113" s="54">
        <f t="shared" si="3"/>
        <v>8.4951822642765795E-2</v>
      </c>
      <c r="E113" s="54">
        <f t="shared" si="4"/>
        <v>-2.1305864987327225E-3</v>
      </c>
      <c r="F113" s="55">
        <f t="shared" si="5"/>
        <v>2020</v>
      </c>
    </row>
    <row r="114" spans="1:6" x14ac:dyDescent="0.35">
      <c r="A114" s="69">
        <v>44088</v>
      </c>
      <c r="B114" s="54">
        <v>1256.7</v>
      </c>
      <c r="C114" s="54">
        <v>11440.05</v>
      </c>
      <c r="D114" s="54">
        <f t="shared" si="3"/>
        <v>5.680248019018122E-2</v>
      </c>
      <c r="E114" s="54">
        <f t="shared" si="4"/>
        <v>7.1205364905140263E-3</v>
      </c>
      <c r="F114" s="55">
        <f t="shared" si="5"/>
        <v>2020</v>
      </c>
    </row>
    <row r="115" spans="1:6" x14ac:dyDescent="0.35">
      <c r="A115" s="69">
        <v>44089</v>
      </c>
      <c r="B115" s="54">
        <v>1330.15</v>
      </c>
      <c r="C115" s="54">
        <v>11521.8</v>
      </c>
      <c r="D115" s="54">
        <f t="shared" si="3"/>
        <v>-2.4274514086851894E-2</v>
      </c>
      <c r="E115" s="54">
        <f t="shared" si="4"/>
        <v>7.1563695231040263E-3</v>
      </c>
      <c r="F115" s="55">
        <f t="shared" si="5"/>
        <v>2020</v>
      </c>
    </row>
    <row r="116" spans="1:6" x14ac:dyDescent="0.35">
      <c r="A116" s="69">
        <v>44090</v>
      </c>
      <c r="B116" s="54">
        <v>1298.25</v>
      </c>
      <c r="C116" s="54">
        <v>11604.55</v>
      </c>
      <c r="D116" s="54">
        <f t="shared" si="3"/>
        <v>4.178744397959875E-2</v>
      </c>
      <c r="E116" s="54">
        <f t="shared" si="4"/>
        <v>-7.651206302177675E-3</v>
      </c>
      <c r="F116" s="55">
        <f t="shared" si="5"/>
        <v>2020</v>
      </c>
    </row>
    <row r="117" spans="1:6" x14ac:dyDescent="0.35">
      <c r="A117" s="69">
        <v>44091</v>
      </c>
      <c r="B117" s="54">
        <v>1353.65</v>
      </c>
      <c r="C117" s="54">
        <v>11516.1</v>
      </c>
      <c r="D117" s="54">
        <f t="shared" si="3"/>
        <v>3.1844499509860055E-2</v>
      </c>
      <c r="E117" s="54">
        <f t="shared" si="4"/>
        <v>-9.6867874157542232E-4</v>
      </c>
      <c r="F117" s="55">
        <f t="shared" si="5"/>
        <v>2020</v>
      </c>
    </row>
    <row r="118" spans="1:6" x14ac:dyDescent="0.35">
      <c r="A118" s="69">
        <v>44092</v>
      </c>
      <c r="B118" s="54">
        <v>1397.45</v>
      </c>
      <c r="C118" s="54">
        <v>11504.95</v>
      </c>
      <c r="D118" s="54">
        <f t="shared" si="3"/>
        <v>-9.4184318341917032E-3</v>
      </c>
      <c r="E118" s="54">
        <f t="shared" si="4"/>
        <v>-2.2360361197041149E-2</v>
      </c>
      <c r="F118" s="55">
        <f t="shared" si="5"/>
        <v>2020</v>
      </c>
    </row>
    <row r="119" spans="1:6" x14ac:dyDescent="0.35">
      <c r="A119" s="69">
        <v>44095</v>
      </c>
      <c r="B119" s="54">
        <v>1384.35</v>
      </c>
      <c r="C119" s="54">
        <v>11250.55</v>
      </c>
      <c r="D119" s="54">
        <f t="shared" si="3"/>
        <v>-1.3526987103868373E-2</v>
      </c>
      <c r="E119" s="54">
        <f t="shared" si="4"/>
        <v>-8.650217746793273E-3</v>
      </c>
      <c r="F119" s="55">
        <f t="shared" si="5"/>
        <v>2020</v>
      </c>
    </row>
    <row r="120" spans="1:6" x14ac:dyDescent="0.35">
      <c r="A120" s="69">
        <v>44096</v>
      </c>
      <c r="B120" s="54">
        <v>1365.75</v>
      </c>
      <c r="C120" s="54">
        <v>11153.65</v>
      </c>
      <c r="D120" s="54">
        <f t="shared" si="3"/>
        <v>1.3346380626829212E-2</v>
      </c>
      <c r="E120" s="54">
        <f t="shared" si="4"/>
        <v>-1.9564296922665279E-3</v>
      </c>
      <c r="F120" s="55">
        <f t="shared" si="5"/>
        <v>2020</v>
      </c>
    </row>
    <row r="121" spans="1:6" x14ac:dyDescent="0.35">
      <c r="A121" s="69">
        <v>44097</v>
      </c>
      <c r="B121" s="54">
        <v>1384.1</v>
      </c>
      <c r="C121" s="54">
        <v>11131.85</v>
      </c>
      <c r="D121" s="54">
        <f t="shared" si="3"/>
        <v>-8.9859416695642319E-2</v>
      </c>
      <c r="E121" s="54">
        <f t="shared" si="4"/>
        <v>-2.9750477881848796E-2</v>
      </c>
      <c r="F121" s="55">
        <f t="shared" si="5"/>
        <v>2020</v>
      </c>
    </row>
    <row r="122" spans="1:6" x14ac:dyDescent="0.35">
      <c r="A122" s="69">
        <v>44098</v>
      </c>
      <c r="B122" s="54">
        <v>1265.1500000000001</v>
      </c>
      <c r="C122" s="54">
        <v>10805.55</v>
      </c>
      <c r="D122" s="54">
        <f t="shared" si="3"/>
        <v>5.1638958196873024E-3</v>
      </c>
      <c r="E122" s="54">
        <f t="shared" si="4"/>
        <v>2.2393161118835776E-2</v>
      </c>
      <c r="F122" s="55">
        <f t="shared" si="5"/>
        <v>2020</v>
      </c>
    </row>
    <row r="123" spans="1:6" x14ac:dyDescent="0.35">
      <c r="A123" s="69">
        <v>44099</v>
      </c>
      <c r="B123" s="54">
        <v>1271.7</v>
      </c>
      <c r="C123" s="54">
        <v>11050.25</v>
      </c>
      <c r="D123" s="54">
        <f t="shared" si="3"/>
        <v>6.012030620596906E-2</v>
      </c>
      <c r="E123" s="54">
        <f t="shared" si="4"/>
        <v>1.5917527178764334E-2</v>
      </c>
      <c r="F123" s="55">
        <f t="shared" si="5"/>
        <v>2020</v>
      </c>
    </row>
    <row r="124" spans="1:6" x14ac:dyDescent="0.35">
      <c r="A124" s="69">
        <v>44102</v>
      </c>
      <c r="B124" s="54">
        <v>1350.5</v>
      </c>
      <c r="C124" s="54">
        <v>11227.55</v>
      </c>
      <c r="D124" s="54">
        <f t="shared" si="3"/>
        <v>-2.4662994369239799E-2</v>
      </c>
      <c r="E124" s="54">
        <f t="shared" si="4"/>
        <v>-4.5879835726466887E-4</v>
      </c>
      <c r="F124" s="55">
        <f t="shared" si="5"/>
        <v>2020</v>
      </c>
    </row>
    <row r="125" spans="1:6" x14ac:dyDescent="0.35">
      <c r="A125" s="69">
        <v>44103</v>
      </c>
      <c r="B125" s="54">
        <v>1317.6</v>
      </c>
      <c r="C125" s="54">
        <v>11222.4</v>
      </c>
      <c r="D125" s="54">
        <f t="shared" si="3"/>
        <v>4.8768479486407106E-2</v>
      </c>
      <c r="E125" s="54">
        <f t="shared" si="4"/>
        <v>2.238546191905813E-3</v>
      </c>
      <c r="F125" s="55">
        <f t="shared" si="5"/>
        <v>2020</v>
      </c>
    </row>
    <row r="126" spans="1:6" x14ac:dyDescent="0.35">
      <c r="A126" s="69">
        <v>44104</v>
      </c>
      <c r="B126" s="54">
        <v>1383.45</v>
      </c>
      <c r="C126" s="54">
        <v>11247.55</v>
      </c>
      <c r="D126" s="54">
        <f t="shared" si="3"/>
        <v>-1.9377693197930396E-2</v>
      </c>
      <c r="E126" s="54">
        <f t="shared" si="4"/>
        <v>1.4948766094795703E-2</v>
      </c>
      <c r="F126" s="55">
        <f t="shared" si="5"/>
        <v>2020</v>
      </c>
    </row>
    <row r="127" spans="1:6" x14ac:dyDescent="0.35">
      <c r="A127" s="69">
        <v>44105</v>
      </c>
      <c r="B127" s="54">
        <v>1356.9</v>
      </c>
      <c r="C127" s="54">
        <v>11416.95</v>
      </c>
      <c r="D127" s="54">
        <f t="shared" si="3"/>
        <v>-1.0780876854930416E-2</v>
      </c>
      <c r="E127" s="54">
        <f t="shared" si="4"/>
        <v>7.5392040457337283E-3</v>
      </c>
      <c r="F127" s="55">
        <f t="shared" si="5"/>
        <v>2020</v>
      </c>
    </row>
    <row r="128" spans="1:6" x14ac:dyDescent="0.35">
      <c r="A128" s="69">
        <v>44109</v>
      </c>
      <c r="B128" s="54">
        <v>1342.35</v>
      </c>
      <c r="C128" s="54">
        <v>11503.35</v>
      </c>
      <c r="D128" s="54">
        <f t="shared" si="3"/>
        <v>6.9412501928052166E-3</v>
      </c>
      <c r="E128" s="54">
        <f t="shared" si="4"/>
        <v>1.3731694349654332E-2</v>
      </c>
      <c r="F128" s="55">
        <f t="shared" si="5"/>
        <v>2020</v>
      </c>
    </row>
    <row r="129" spans="1:6" x14ac:dyDescent="0.35">
      <c r="A129" s="69">
        <v>44110</v>
      </c>
      <c r="B129" s="54">
        <v>1351.7</v>
      </c>
      <c r="C129" s="54">
        <v>11662.4</v>
      </c>
      <c r="D129" s="54">
        <f t="shared" si="3"/>
        <v>-9.7014160630341188E-3</v>
      </c>
      <c r="E129" s="54">
        <f t="shared" si="4"/>
        <v>6.5338622491807391E-3</v>
      </c>
      <c r="F129" s="55">
        <f t="shared" si="5"/>
        <v>2020</v>
      </c>
    </row>
    <row r="130" spans="1:6" x14ac:dyDescent="0.35">
      <c r="A130" s="69">
        <v>44111</v>
      </c>
      <c r="B130" s="54">
        <v>1338.65</v>
      </c>
      <c r="C130" s="54">
        <v>11738.85</v>
      </c>
      <c r="D130" s="54">
        <f t="shared" ref="D130:D193" si="6">LN(B131/B130)</f>
        <v>5.5043769456631149E-2</v>
      </c>
      <c r="E130" s="54">
        <f t="shared" ref="E130:E193" si="7">LN(C131/C130)</f>
        <v>8.1235904431762058E-3</v>
      </c>
      <c r="F130" s="55">
        <f t="shared" ref="F130:F193" si="8">YEAR(A130)</f>
        <v>2020</v>
      </c>
    </row>
    <row r="131" spans="1:6" x14ac:dyDescent="0.35">
      <c r="A131" s="69">
        <v>44112</v>
      </c>
      <c r="B131" s="54">
        <v>1414.4</v>
      </c>
      <c r="C131" s="54">
        <v>11834.6</v>
      </c>
      <c r="D131" s="54">
        <f t="shared" si="6"/>
        <v>-2.1980477861286516E-2</v>
      </c>
      <c r="E131" s="54">
        <f t="shared" si="7"/>
        <v>6.7035217007364633E-3</v>
      </c>
      <c r="F131" s="55">
        <f t="shared" si="8"/>
        <v>2020</v>
      </c>
    </row>
    <row r="132" spans="1:6" x14ac:dyDescent="0.35">
      <c r="A132" s="69">
        <v>44113</v>
      </c>
      <c r="B132" s="54">
        <v>1383.65</v>
      </c>
      <c r="C132" s="54">
        <v>11914.2</v>
      </c>
      <c r="D132" s="54">
        <f t="shared" si="6"/>
        <v>8.7427925609587682E-3</v>
      </c>
      <c r="E132" s="54">
        <f t="shared" si="7"/>
        <v>1.4048980824201138E-3</v>
      </c>
      <c r="F132" s="55">
        <f t="shared" si="8"/>
        <v>2020</v>
      </c>
    </row>
    <row r="133" spans="1:6" x14ac:dyDescent="0.35">
      <c r="A133" s="69">
        <v>44116</v>
      </c>
      <c r="B133" s="54">
        <v>1395.8</v>
      </c>
      <c r="C133" s="54">
        <v>11930.95</v>
      </c>
      <c r="D133" s="54">
        <f t="shared" si="6"/>
        <v>5.786350394854374E-3</v>
      </c>
      <c r="E133" s="54">
        <f t="shared" si="7"/>
        <v>2.9750120162692819E-4</v>
      </c>
      <c r="F133" s="55">
        <f t="shared" si="8"/>
        <v>2020</v>
      </c>
    </row>
    <row r="134" spans="1:6" x14ac:dyDescent="0.35">
      <c r="A134" s="69">
        <v>44117</v>
      </c>
      <c r="B134" s="54">
        <v>1403.9</v>
      </c>
      <c r="C134" s="54">
        <v>11934.5</v>
      </c>
      <c r="D134" s="54">
        <f t="shared" si="6"/>
        <v>1.5478981705622489E-2</v>
      </c>
      <c r="E134" s="54">
        <f t="shared" si="7"/>
        <v>3.0578696980628857E-3</v>
      </c>
      <c r="F134" s="55">
        <f t="shared" si="8"/>
        <v>2020</v>
      </c>
    </row>
    <row r="135" spans="1:6" x14ac:dyDescent="0.35">
      <c r="A135" s="69">
        <v>44118</v>
      </c>
      <c r="B135" s="54">
        <v>1425.8</v>
      </c>
      <c r="C135" s="54">
        <v>11971.05</v>
      </c>
      <c r="D135" s="54">
        <f t="shared" si="6"/>
        <v>-1.6726286797750654E-2</v>
      </c>
      <c r="E135" s="54">
        <f t="shared" si="7"/>
        <v>-2.4583292316473156E-2</v>
      </c>
      <c r="F135" s="55">
        <f t="shared" si="8"/>
        <v>2020</v>
      </c>
    </row>
    <row r="136" spans="1:6" x14ac:dyDescent="0.35">
      <c r="A136" s="69">
        <v>44119</v>
      </c>
      <c r="B136" s="54">
        <v>1402.15</v>
      </c>
      <c r="C136" s="54">
        <v>11680.35</v>
      </c>
      <c r="D136" s="54">
        <f t="shared" si="6"/>
        <v>-4.477761402274287E-2</v>
      </c>
      <c r="E136" s="54">
        <f t="shared" si="7"/>
        <v>7.0043114008975721E-3</v>
      </c>
      <c r="F136" s="55">
        <f t="shared" si="8"/>
        <v>2020</v>
      </c>
    </row>
    <row r="137" spans="1:6" x14ac:dyDescent="0.35">
      <c r="A137" s="69">
        <v>44120</v>
      </c>
      <c r="B137" s="54">
        <v>1340.75</v>
      </c>
      <c r="C137" s="54">
        <v>11762.45</v>
      </c>
      <c r="D137" s="54">
        <f t="shared" si="6"/>
        <v>-2.9404422959683069E-2</v>
      </c>
      <c r="E137" s="54">
        <f t="shared" si="7"/>
        <v>9.3588718049253585E-3</v>
      </c>
      <c r="F137" s="55">
        <f t="shared" si="8"/>
        <v>2020</v>
      </c>
    </row>
    <row r="138" spans="1:6" x14ac:dyDescent="0.35">
      <c r="A138" s="69">
        <v>44123</v>
      </c>
      <c r="B138" s="54">
        <v>1301.9000000000001</v>
      </c>
      <c r="C138" s="54">
        <v>11873.05</v>
      </c>
      <c r="D138" s="54">
        <f t="shared" si="6"/>
        <v>9.7837667992071598E-3</v>
      </c>
      <c r="E138" s="54">
        <f t="shared" si="7"/>
        <v>1.9983304819722702E-3</v>
      </c>
      <c r="F138" s="55">
        <f t="shared" si="8"/>
        <v>2020</v>
      </c>
    </row>
    <row r="139" spans="1:6" x14ac:dyDescent="0.35">
      <c r="A139" s="69">
        <v>44124</v>
      </c>
      <c r="B139" s="54">
        <v>1314.7</v>
      </c>
      <c r="C139" s="54">
        <v>11896.8</v>
      </c>
      <c r="D139" s="54">
        <f t="shared" si="6"/>
        <v>-1.0244737919847034E-2</v>
      </c>
      <c r="E139" s="54">
        <f t="shared" si="7"/>
        <v>3.4278147805934457E-3</v>
      </c>
      <c r="F139" s="55">
        <f t="shared" si="8"/>
        <v>2020</v>
      </c>
    </row>
    <row r="140" spans="1:6" x14ac:dyDescent="0.35">
      <c r="A140" s="69">
        <v>44125</v>
      </c>
      <c r="B140" s="54">
        <v>1301.3</v>
      </c>
      <c r="C140" s="54">
        <v>11937.65</v>
      </c>
      <c r="D140" s="54">
        <f t="shared" si="6"/>
        <v>3.6666750832069842E-2</v>
      </c>
      <c r="E140" s="54">
        <f t="shared" si="7"/>
        <v>-3.4572348892397747E-3</v>
      </c>
      <c r="F140" s="55">
        <f t="shared" si="8"/>
        <v>2020</v>
      </c>
    </row>
    <row r="141" spans="1:6" x14ac:dyDescent="0.35">
      <c r="A141" s="69">
        <v>44126</v>
      </c>
      <c r="B141" s="54">
        <v>1349.9</v>
      </c>
      <c r="C141" s="54">
        <v>11896.45</v>
      </c>
      <c r="D141" s="54">
        <f t="shared" si="6"/>
        <v>2.3537388508445629E-2</v>
      </c>
      <c r="E141" s="54">
        <f t="shared" si="7"/>
        <v>2.8455371996451177E-3</v>
      </c>
      <c r="F141" s="55">
        <f t="shared" si="8"/>
        <v>2020</v>
      </c>
    </row>
    <row r="142" spans="1:6" x14ac:dyDescent="0.35">
      <c r="A142" s="69">
        <v>44127</v>
      </c>
      <c r="B142" s="54">
        <v>1382.05</v>
      </c>
      <c r="C142" s="54">
        <v>11930.35</v>
      </c>
      <c r="D142" s="54">
        <f t="shared" si="6"/>
        <v>-1.880750015455792E-2</v>
      </c>
      <c r="E142" s="54">
        <f t="shared" si="7"/>
        <v>-1.3722834461522889E-2</v>
      </c>
      <c r="F142" s="55">
        <f t="shared" si="8"/>
        <v>2020</v>
      </c>
    </row>
    <row r="143" spans="1:6" x14ac:dyDescent="0.35">
      <c r="A143" s="69">
        <v>44130</v>
      </c>
      <c r="B143" s="54">
        <v>1356.3</v>
      </c>
      <c r="C143" s="54">
        <v>11767.75</v>
      </c>
      <c r="D143" s="54">
        <f t="shared" si="6"/>
        <v>1.8047554667500402E-3</v>
      </c>
      <c r="E143" s="54">
        <f t="shared" si="7"/>
        <v>1.0284507834007878E-2</v>
      </c>
      <c r="F143" s="55">
        <f t="shared" si="8"/>
        <v>2020</v>
      </c>
    </row>
    <row r="144" spans="1:6" x14ac:dyDescent="0.35">
      <c r="A144" s="69">
        <v>44131</v>
      </c>
      <c r="B144" s="54">
        <v>1358.75</v>
      </c>
      <c r="C144" s="54">
        <v>11889.4</v>
      </c>
      <c r="D144" s="54">
        <f t="shared" si="6"/>
        <v>-1.3074986718524809E-2</v>
      </c>
      <c r="E144" s="54">
        <f t="shared" si="7"/>
        <v>-1.3531685368635521E-2</v>
      </c>
      <c r="F144" s="55">
        <f t="shared" si="8"/>
        <v>2020</v>
      </c>
    </row>
    <row r="145" spans="1:6" x14ac:dyDescent="0.35">
      <c r="A145" s="69">
        <v>44132</v>
      </c>
      <c r="B145" s="54">
        <v>1341.1</v>
      </c>
      <c r="C145" s="54">
        <v>11729.6</v>
      </c>
      <c r="D145" s="54">
        <f t="shared" si="6"/>
        <v>-1.8460302906568405E-2</v>
      </c>
      <c r="E145" s="54">
        <f t="shared" si="7"/>
        <v>-5.0255656959599226E-3</v>
      </c>
      <c r="F145" s="55">
        <f t="shared" si="8"/>
        <v>2020</v>
      </c>
    </row>
    <row r="146" spans="1:6" x14ac:dyDescent="0.35">
      <c r="A146" s="69">
        <v>44133</v>
      </c>
      <c r="B146" s="54">
        <v>1316.57</v>
      </c>
      <c r="C146" s="54">
        <v>11670.8</v>
      </c>
      <c r="D146" s="54">
        <f t="shared" si="6"/>
        <v>3.7054529182611061E-2</v>
      </c>
      <c r="E146" s="54">
        <f t="shared" si="7"/>
        <v>-2.436389174245776E-3</v>
      </c>
      <c r="F146" s="55">
        <f t="shared" si="8"/>
        <v>2020</v>
      </c>
    </row>
    <row r="147" spans="1:6" x14ac:dyDescent="0.35">
      <c r="A147" s="69">
        <v>44134</v>
      </c>
      <c r="B147" s="54">
        <v>1366.27</v>
      </c>
      <c r="C147" s="54">
        <v>11642.4</v>
      </c>
      <c r="D147" s="54">
        <f t="shared" si="6"/>
        <v>-1.4650035116340721E-2</v>
      </c>
      <c r="E147" s="54">
        <f t="shared" si="7"/>
        <v>2.2950006963143427E-3</v>
      </c>
      <c r="F147" s="55">
        <f t="shared" si="8"/>
        <v>2020</v>
      </c>
    </row>
    <row r="148" spans="1:6" x14ac:dyDescent="0.35">
      <c r="A148" s="69">
        <v>44137</v>
      </c>
      <c r="B148" s="54">
        <v>1346.4</v>
      </c>
      <c r="C148" s="54">
        <v>11669.15</v>
      </c>
      <c r="D148" s="54">
        <f t="shared" si="6"/>
        <v>1.795772256316159E-3</v>
      </c>
      <c r="E148" s="54">
        <f t="shared" si="7"/>
        <v>1.2294338008099459E-2</v>
      </c>
      <c r="F148" s="55">
        <f t="shared" si="8"/>
        <v>2020</v>
      </c>
    </row>
    <row r="149" spans="1:6" x14ac:dyDescent="0.35">
      <c r="A149" s="69">
        <v>44138</v>
      </c>
      <c r="B149" s="54">
        <v>1348.82</v>
      </c>
      <c r="C149" s="54">
        <v>11813.5</v>
      </c>
      <c r="D149" s="54">
        <f t="shared" si="6"/>
        <v>8.6368434601031881E-3</v>
      </c>
      <c r="E149" s="54">
        <f t="shared" si="7"/>
        <v>8.0094855297475447E-3</v>
      </c>
      <c r="F149" s="55">
        <f t="shared" si="8"/>
        <v>2020</v>
      </c>
    </row>
    <row r="150" spans="1:6" x14ac:dyDescent="0.35">
      <c r="A150" s="69">
        <v>44139</v>
      </c>
      <c r="B150" s="54">
        <v>1360.52</v>
      </c>
      <c r="C150" s="54">
        <v>11908.5</v>
      </c>
      <c r="D150" s="54">
        <f t="shared" si="6"/>
        <v>-7.0885401723521499E-3</v>
      </c>
      <c r="E150" s="54">
        <f t="shared" si="7"/>
        <v>1.7629301958937776E-2</v>
      </c>
      <c r="F150" s="55">
        <f t="shared" si="8"/>
        <v>2020</v>
      </c>
    </row>
    <row r="151" spans="1:6" x14ac:dyDescent="0.35">
      <c r="A151" s="69">
        <v>44140</v>
      </c>
      <c r="B151" s="54">
        <v>1350.91</v>
      </c>
      <c r="C151" s="54">
        <v>12120.3</v>
      </c>
      <c r="D151" s="54">
        <f t="shared" si="6"/>
        <v>-2.0755624354234472E-2</v>
      </c>
      <c r="E151" s="54">
        <f t="shared" si="7"/>
        <v>1.1749715326943234E-2</v>
      </c>
      <c r="F151" s="55">
        <f t="shared" si="8"/>
        <v>2020</v>
      </c>
    </row>
    <row r="152" spans="1:6" x14ac:dyDescent="0.35">
      <c r="A152" s="69">
        <v>44141</v>
      </c>
      <c r="B152" s="54">
        <v>1323.16</v>
      </c>
      <c r="C152" s="54">
        <v>12263.55</v>
      </c>
      <c r="D152" s="54">
        <f t="shared" si="6"/>
        <v>7.4792906471115022E-4</v>
      </c>
      <c r="E152" s="54">
        <f t="shared" si="7"/>
        <v>1.5976331334718024E-2</v>
      </c>
      <c r="F152" s="55">
        <f t="shared" si="8"/>
        <v>2020</v>
      </c>
    </row>
    <row r="153" spans="1:6" x14ac:dyDescent="0.35">
      <c r="A153" s="69">
        <v>44144</v>
      </c>
      <c r="B153" s="54">
        <v>1324.15</v>
      </c>
      <c r="C153" s="54">
        <v>12461.05</v>
      </c>
      <c r="D153" s="54">
        <f t="shared" si="6"/>
        <v>-1.9653410623023837E-2</v>
      </c>
      <c r="E153" s="54">
        <f t="shared" si="7"/>
        <v>1.355424731828949E-2</v>
      </c>
      <c r="F153" s="55">
        <f t="shared" si="8"/>
        <v>2020</v>
      </c>
    </row>
    <row r="154" spans="1:6" x14ac:dyDescent="0.35">
      <c r="A154" s="69">
        <v>44145</v>
      </c>
      <c r="B154" s="54">
        <v>1298.3800000000001</v>
      </c>
      <c r="C154" s="54">
        <v>12631.1</v>
      </c>
      <c r="D154" s="54">
        <f t="shared" si="6"/>
        <v>-7.7022020633861043E-5</v>
      </c>
      <c r="E154" s="54">
        <f t="shared" si="7"/>
        <v>9.3025759254182373E-3</v>
      </c>
      <c r="F154" s="55">
        <f t="shared" si="8"/>
        <v>2020</v>
      </c>
    </row>
    <row r="155" spans="1:6" x14ac:dyDescent="0.35">
      <c r="A155" s="69">
        <v>44146</v>
      </c>
      <c r="B155" s="54">
        <v>1298.28</v>
      </c>
      <c r="C155" s="54">
        <v>12749.15</v>
      </c>
      <c r="D155" s="54">
        <f t="shared" si="6"/>
        <v>2.5175686784709547E-2</v>
      </c>
      <c r="E155" s="54">
        <f t="shared" si="7"/>
        <v>-4.5872812110303507E-3</v>
      </c>
      <c r="F155" s="55">
        <f t="shared" si="8"/>
        <v>2020</v>
      </c>
    </row>
    <row r="156" spans="1:6" x14ac:dyDescent="0.35">
      <c r="A156" s="69">
        <v>44147</v>
      </c>
      <c r="B156" s="54">
        <v>1331.38</v>
      </c>
      <c r="C156" s="54">
        <v>12690.8</v>
      </c>
      <c r="D156" s="54">
        <f t="shared" si="6"/>
        <v>-2.1439261559907351E-2</v>
      </c>
      <c r="E156" s="54">
        <f t="shared" si="7"/>
        <v>2.2943055822232622E-3</v>
      </c>
      <c r="F156" s="55">
        <f t="shared" si="8"/>
        <v>2020</v>
      </c>
    </row>
    <row r="157" spans="1:6" x14ac:dyDescent="0.35">
      <c r="A157" s="69">
        <v>44148</v>
      </c>
      <c r="B157" s="54">
        <v>1303.1400000000001</v>
      </c>
      <c r="C157" s="54">
        <v>12719.95</v>
      </c>
      <c r="D157" s="54">
        <f t="shared" si="6"/>
        <v>-6.4480473862706502E-4</v>
      </c>
      <c r="E157" s="54">
        <f t="shared" si="7"/>
        <v>1.2053681610313101E-2</v>
      </c>
      <c r="F157" s="55">
        <f t="shared" si="8"/>
        <v>2020</v>
      </c>
    </row>
    <row r="158" spans="1:6" x14ac:dyDescent="0.35">
      <c r="A158" s="69">
        <v>44152</v>
      </c>
      <c r="B158" s="54">
        <v>1302.3</v>
      </c>
      <c r="C158" s="54">
        <v>12874.2</v>
      </c>
      <c r="D158" s="54">
        <f t="shared" si="6"/>
        <v>-2.0215459022638982E-3</v>
      </c>
      <c r="E158" s="54">
        <f t="shared" si="7"/>
        <v>4.9627316628728501E-3</v>
      </c>
      <c r="F158" s="55">
        <f t="shared" si="8"/>
        <v>2020</v>
      </c>
    </row>
    <row r="159" spans="1:6" x14ac:dyDescent="0.35">
      <c r="A159" s="69">
        <v>44153</v>
      </c>
      <c r="B159" s="54">
        <v>1299.67</v>
      </c>
      <c r="C159" s="54">
        <v>12938.25</v>
      </c>
      <c r="D159" s="54">
        <f t="shared" si="6"/>
        <v>-8.2281463487752296E-3</v>
      </c>
      <c r="E159" s="54">
        <f t="shared" si="7"/>
        <v>-1.2956254665088004E-2</v>
      </c>
      <c r="F159" s="55">
        <f t="shared" si="8"/>
        <v>2020</v>
      </c>
    </row>
    <row r="160" spans="1:6" x14ac:dyDescent="0.35">
      <c r="A160" s="69">
        <v>44154</v>
      </c>
      <c r="B160" s="54">
        <v>1289.02</v>
      </c>
      <c r="C160" s="54">
        <v>12771.7</v>
      </c>
      <c r="D160" s="54">
        <f t="shared" si="6"/>
        <v>1.1163042968269565E-2</v>
      </c>
      <c r="E160" s="54">
        <f t="shared" si="7"/>
        <v>6.8160579132457008E-3</v>
      </c>
      <c r="F160" s="55">
        <f t="shared" si="8"/>
        <v>2020</v>
      </c>
    </row>
    <row r="161" spans="1:6" x14ac:dyDescent="0.35">
      <c r="A161" s="69">
        <v>44155</v>
      </c>
      <c r="B161" s="54">
        <v>1303.49</v>
      </c>
      <c r="C161" s="54">
        <v>12859.05</v>
      </c>
      <c r="D161" s="54">
        <f t="shared" si="6"/>
        <v>-3.8359296188351253E-5</v>
      </c>
      <c r="E161" s="54">
        <f t="shared" si="7"/>
        <v>5.2277561808191089E-3</v>
      </c>
      <c r="F161" s="55">
        <f t="shared" si="8"/>
        <v>2020</v>
      </c>
    </row>
    <row r="162" spans="1:6" x14ac:dyDescent="0.35">
      <c r="A162" s="69">
        <v>44158</v>
      </c>
      <c r="B162" s="54">
        <v>1303.44</v>
      </c>
      <c r="C162" s="54">
        <v>12926.45</v>
      </c>
      <c r="D162" s="54">
        <f t="shared" si="6"/>
        <v>1.4789136015093565E-2</v>
      </c>
      <c r="E162" s="54">
        <f t="shared" si="7"/>
        <v>9.9070921469130834E-3</v>
      </c>
      <c r="F162" s="55">
        <f t="shared" si="8"/>
        <v>2020</v>
      </c>
    </row>
    <row r="163" spans="1:6" x14ac:dyDescent="0.35">
      <c r="A163" s="69">
        <v>44159</v>
      </c>
      <c r="B163" s="54">
        <v>1322.86</v>
      </c>
      <c r="C163" s="54">
        <v>13055.15</v>
      </c>
      <c r="D163" s="54">
        <f t="shared" si="6"/>
        <v>-6.9560880512985054E-3</v>
      </c>
      <c r="E163" s="54">
        <f t="shared" si="7"/>
        <v>-1.518539766292209E-2</v>
      </c>
      <c r="F163" s="55">
        <f t="shared" si="8"/>
        <v>2020</v>
      </c>
    </row>
    <row r="164" spans="1:6" x14ac:dyDescent="0.35">
      <c r="A164" s="69">
        <v>44160</v>
      </c>
      <c r="B164" s="54">
        <v>1313.69</v>
      </c>
      <c r="C164" s="54">
        <v>12858.4</v>
      </c>
      <c r="D164" s="54">
        <f t="shared" si="6"/>
        <v>-2.9691776738043307E-4</v>
      </c>
      <c r="E164" s="54">
        <f t="shared" si="7"/>
        <v>9.9515628551589408E-3</v>
      </c>
      <c r="F164" s="55">
        <f t="shared" si="8"/>
        <v>2020</v>
      </c>
    </row>
    <row r="165" spans="1:6" x14ac:dyDescent="0.35">
      <c r="A165" s="69">
        <v>44161</v>
      </c>
      <c r="B165" s="54">
        <v>1313.3</v>
      </c>
      <c r="C165" s="54">
        <v>12987</v>
      </c>
      <c r="D165" s="54">
        <f t="shared" si="6"/>
        <v>-7.2369667013346224E-3</v>
      </c>
      <c r="E165" s="54">
        <f t="shared" si="7"/>
        <v>-1.3908181291474332E-3</v>
      </c>
      <c r="F165" s="55">
        <f t="shared" si="8"/>
        <v>2020</v>
      </c>
    </row>
    <row r="166" spans="1:6" x14ac:dyDescent="0.35">
      <c r="A166" s="69">
        <v>44162</v>
      </c>
      <c r="B166" s="54">
        <v>1303.83</v>
      </c>
      <c r="C166" s="54">
        <v>12968.95</v>
      </c>
      <c r="D166" s="54">
        <f t="shared" si="6"/>
        <v>-3.8422276833156416E-3</v>
      </c>
      <c r="E166" s="54">
        <f t="shared" si="7"/>
        <v>1.0744792383060973E-2</v>
      </c>
      <c r="F166" s="55">
        <f t="shared" si="8"/>
        <v>2020</v>
      </c>
    </row>
    <row r="167" spans="1:6" x14ac:dyDescent="0.35">
      <c r="A167" s="69">
        <v>44166</v>
      </c>
      <c r="B167" s="54">
        <v>1298.83</v>
      </c>
      <c r="C167" s="54">
        <v>13109.05</v>
      </c>
      <c r="D167" s="54">
        <f t="shared" si="6"/>
        <v>1.9269124139247269E-2</v>
      </c>
      <c r="E167" s="54">
        <f t="shared" si="7"/>
        <v>3.5846668169140151E-4</v>
      </c>
      <c r="F167" s="55">
        <f t="shared" si="8"/>
        <v>2020</v>
      </c>
    </row>
    <row r="168" spans="1:6" x14ac:dyDescent="0.35">
      <c r="A168" s="69">
        <v>44167</v>
      </c>
      <c r="B168" s="54">
        <v>1324.1</v>
      </c>
      <c r="C168" s="54">
        <v>13113.75</v>
      </c>
      <c r="D168" s="54">
        <f t="shared" si="6"/>
        <v>1.2749732777877101E-2</v>
      </c>
      <c r="E168" s="54">
        <f t="shared" si="7"/>
        <v>1.5353758495279832E-3</v>
      </c>
      <c r="F168" s="55">
        <f t="shared" si="8"/>
        <v>2020</v>
      </c>
    </row>
    <row r="169" spans="1:6" x14ac:dyDescent="0.35">
      <c r="A169" s="69">
        <v>44168</v>
      </c>
      <c r="B169" s="54">
        <v>1341.09</v>
      </c>
      <c r="C169" s="54">
        <v>13133.9</v>
      </c>
      <c r="D169" s="54">
        <f t="shared" si="6"/>
        <v>-1.368665671379502E-2</v>
      </c>
      <c r="E169" s="54">
        <f t="shared" si="7"/>
        <v>9.4459534324455828E-3</v>
      </c>
      <c r="F169" s="55">
        <f t="shared" si="8"/>
        <v>2020</v>
      </c>
    </row>
    <row r="170" spans="1:6" x14ac:dyDescent="0.35">
      <c r="A170" s="69">
        <v>44169</v>
      </c>
      <c r="B170" s="54">
        <v>1322.86</v>
      </c>
      <c r="C170" s="54">
        <v>13258.55</v>
      </c>
      <c r="D170" s="54">
        <f t="shared" si="6"/>
        <v>-9.9368752492149503E-3</v>
      </c>
      <c r="E170" s="54">
        <f t="shared" si="7"/>
        <v>7.3043763815936035E-3</v>
      </c>
      <c r="F170" s="55">
        <f t="shared" si="8"/>
        <v>2020</v>
      </c>
    </row>
    <row r="171" spans="1:6" x14ac:dyDescent="0.35">
      <c r="A171" s="69">
        <v>44172</v>
      </c>
      <c r="B171" s="54">
        <v>1309.78</v>
      </c>
      <c r="C171" s="54">
        <v>13355.75</v>
      </c>
      <c r="D171" s="54">
        <f t="shared" si="6"/>
        <v>-5.7272521869206746E-3</v>
      </c>
      <c r="E171" s="54">
        <f t="shared" si="7"/>
        <v>2.7814453773795378E-3</v>
      </c>
      <c r="F171" s="55">
        <f t="shared" si="8"/>
        <v>2020</v>
      </c>
    </row>
    <row r="172" spans="1:6" x14ac:dyDescent="0.35">
      <c r="A172" s="69">
        <v>44173</v>
      </c>
      <c r="B172" s="54">
        <v>1302.3</v>
      </c>
      <c r="C172" s="54">
        <v>13392.95</v>
      </c>
      <c r="D172" s="54">
        <f t="shared" si="6"/>
        <v>1.3658793243767266E-3</v>
      </c>
      <c r="E172" s="54">
        <f t="shared" si="7"/>
        <v>1.0114472018708576E-2</v>
      </c>
      <c r="F172" s="55">
        <f t="shared" si="8"/>
        <v>2020</v>
      </c>
    </row>
    <row r="173" spans="1:6" x14ac:dyDescent="0.35">
      <c r="A173" s="69">
        <v>44174</v>
      </c>
      <c r="B173" s="54">
        <v>1304.08</v>
      </c>
      <c r="C173" s="54">
        <v>13529.1</v>
      </c>
      <c r="D173" s="54">
        <f t="shared" si="6"/>
        <v>-6.9407851913602424E-3</v>
      </c>
      <c r="E173" s="54">
        <f t="shared" si="7"/>
        <v>-3.7619363515791131E-3</v>
      </c>
      <c r="F173" s="55">
        <f t="shared" si="8"/>
        <v>2020</v>
      </c>
    </row>
    <row r="174" spans="1:6" x14ac:dyDescent="0.35">
      <c r="A174" s="69">
        <v>44175</v>
      </c>
      <c r="B174" s="54">
        <v>1295.06</v>
      </c>
      <c r="C174" s="54">
        <v>13478.3</v>
      </c>
      <c r="D174" s="54">
        <f t="shared" si="6"/>
        <v>7.0174646635364464E-3</v>
      </c>
      <c r="E174" s="54">
        <f t="shared" si="7"/>
        <v>2.6341006963332956E-3</v>
      </c>
      <c r="F174" s="55">
        <f t="shared" si="8"/>
        <v>2020</v>
      </c>
    </row>
    <row r="175" spans="1:6" x14ac:dyDescent="0.35">
      <c r="A175" s="69">
        <v>44176</v>
      </c>
      <c r="B175" s="54">
        <v>1304.18</v>
      </c>
      <c r="C175" s="54">
        <v>13513.85</v>
      </c>
      <c r="D175" s="54">
        <f t="shared" si="6"/>
        <v>8.2469656005192977E-3</v>
      </c>
      <c r="E175" s="54">
        <f t="shared" si="7"/>
        <v>3.2727570583044262E-3</v>
      </c>
      <c r="F175" s="55">
        <f t="shared" si="8"/>
        <v>2020</v>
      </c>
    </row>
    <row r="176" spans="1:6" x14ac:dyDescent="0.35">
      <c r="A176" s="69">
        <v>44179</v>
      </c>
      <c r="B176" s="54">
        <v>1314.98</v>
      </c>
      <c r="C176" s="54">
        <v>13558.15</v>
      </c>
      <c r="D176" s="54">
        <f t="shared" si="6"/>
        <v>-1.6211097875201777E-3</v>
      </c>
      <c r="E176" s="54">
        <f t="shared" si="7"/>
        <v>7.1518103763549385E-4</v>
      </c>
      <c r="F176" s="55">
        <f t="shared" si="8"/>
        <v>2020</v>
      </c>
    </row>
    <row r="177" spans="1:6" x14ac:dyDescent="0.35">
      <c r="A177" s="69">
        <v>44180</v>
      </c>
      <c r="B177" s="54">
        <v>1312.85</v>
      </c>
      <c r="C177" s="54">
        <v>13567.85</v>
      </c>
      <c r="D177" s="54">
        <f t="shared" si="6"/>
        <v>2.5085461993403276E-2</v>
      </c>
      <c r="E177" s="54">
        <f t="shared" si="7"/>
        <v>8.4292375769652993E-3</v>
      </c>
      <c r="F177" s="55">
        <f t="shared" si="8"/>
        <v>2020</v>
      </c>
    </row>
    <row r="178" spans="1:6" x14ac:dyDescent="0.35">
      <c r="A178" s="69">
        <v>44181</v>
      </c>
      <c r="B178" s="54">
        <v>1346.2</v>
      </c>
      <c r="C178" s="54">
        <v>13682.7</v>
      </c>
      <c r="D178" s="54">
        <f t="shared" si="6"/>
        <v>-1.3860282395880887E-2</v>
      </c>
      <c r="E178" s="54">
        <f t="shared" si="7"/>
        <v>4.2299704982690983E-3</v>
      </c>
      <c r="F178" s="55">
        <f t="shared" si="8"/>
        <v>2020</v>
      </c>
    </row>
    <row r="179" spans="1:6" x14ac:dyDescent="0.35">
      <c r="A179" s="69">
        <v>44182</v>
      </c>
      <c r="B179" s="54">
        <v>1327.67</v>
      </c>
      <c r="C179" s="54">
        <v>13740.7</v>
      </c>
      <c r="D179" s="54">
        <f t="shared" si="6"/>
        <v>2.4441453412283664E-2</v>
      </c>
      <c r="E179" s="54">
        <f t="shared" si="7"/>
        <v>1.4435709974719424E-3</v>
      </c>
      <c r="F179" s="55">
        <f t="shared" si="8"/>
        <v>2020</v>
      </c>
    </row>
    <row r="180" spans="1:6" x14ac:dyDescent="0.35">
      <c r="A180" s="69">
        <v>44183</v>
      </c>
      <c r="B180" s="54">
        <v>1360.52</v>
      </c>
      <c r="C180" s="54">
        <v>13760.55</v>
      </c>
      <c r="D180" s="54">
        <f t="shared" si="6"/>
        <v>1.2991131395575789E-2</v>
      </c>
      <c r="E180" s="54">
        <f t="shared" si="7"/>
        <v>-3.1908705657676249E-2</v>
      </c>
      <c r="F180" s="55">
        <f t="shared" si="8"/>
        <v>2020</v>
      </c>
    </row>
    <row r="181" spans="1:6" x14ac:dyDescent="0.35">
      <c r="A181" s="69">
        <v>44186</v>
      </c>
      <c r="B181" s="54">
        <v>1378.31</v>
      </c>
      <c r="C181" s="54">
        <v>13328.4</v>
      </c>
      <c r="D181" s="54">
        <f t="shared" si="6"/>
        <v>2.2426582333473968E-2</v>
      </c>
      <c r="E181" s="54">
        <f t="shared" si="7"/>
        <v>1.0293171226603563E-2</v>
      </c>
      <c r="F181" s="55">
        <f t="shared" si="8"/>
        <v>2020</v>
      </c>
    </row>
    <row r="182" spans="1:6" x14ac:dyDescent="0.35">
      <c r="A182" s="69">
        <v>44187</v>
      </c>
      <c r="B182" s="54">
        <v>1409.57</v>
      </c>
      <c r="C182" s="54">
        <v>13466.3</v>
      </c>
      <c r="D182" s="54">
        <f t="shared" si="6"/>
        <v>0.10232377907108568</v>
      </c>
      <c r="E182" s="54">
        <f t="shared" si="7"/>
        <v>9.960403618605139E-3</v>
      </c>
      <c r="F182" s="55">
        <f t="shared" si="8"/>
        <v>2020</v>
      </c>
    </row>
    <row r="183" spans="1:6" x14ac:dyDescent="0.35">
      <c r="A183" s="69">
        <v>44188</v>
      </c>
      <c r="B183" s="54">
        <v>1561.44</v>
      </c>
      <c r="C183" s="54">
        <v>13601.1</v>
      </c>
      <c r="D183" s="54">
        <f t="shared" si="6"/>
        <v>-1.3481959349358757E-2</v>
      </c>
      <c r="E183" s="54">
        <f t="shared" si="7"/>
        <v>1.0833605346231154E-2</v>
      </c>
      <c r="F183" s="55">
        <f t="shared" si="8"/>
        <v>2020</v>
      </c>
    </row>
    <row r="184" spans="1:6" x14ac:dyDescent="0.35">
      <c r="A184" s="69">
        <v>44189</v>
      </c>
      <c r="B184" s="54">
        <v>1540.53</v>
      </c>
      <c r="C184" s="54">
        <v>13749.25</v>
      </c>
      <c r="D184" s="54">
        <f t="shared" si="6"/>
        <v>3.8484012510808466E-3</v>
      </c>
      <c r="E184" s="54">
        <f t="shared" si="7"/>
        <v>8.9746443167618515E-3</v>
      </c>
      <c r="F184" s="55">
        <f t="shared" si="8"/>
        <v>2020</v>
      </c>
    </row>
    <row r="185" spans="1:6" x14ac:dyDescent="0.35">
      <c r="A185" s="69">
        <v>44193</v>
      </c>
      <c r="B185" s="54">
        <v>1546.47</v>
      </c>
      <c r="C185" s="54">
        <v>13873.2</v>
      </c>
      <c r="D185" s="54">
        <f t="shared" si="6"/>
        <v>-8.6039318157677585E-4</v>
      </c>
      <c r="E185" s="54">
        <f t="shared" si="7"/>
        <v>4.2724964114242226E-3</v>
      </c>
      <c r="F185" s="55">
        <f t="shared" si="8"/>
        <v>2020</v>
      </c>
    </row>
    <row r="186" spans="1:6" x14ac:dyDescent="0.35">
      <c r="A186" s="69">
        <v>44194</v>
      </c>
      <c r="B186" s="54">
        <v>1545.14</v>
      </c>
      <c r="C186" s="54">
        <v>13932.6</v>
      </c>
      <c r="D186" s="54">
        <f t="shared" si="6"/>
        <v>1.9813540645833138E-2</v>
      </c>
      <c r="E186" s="54">
        <f t="shared" si="7"/>
        <v>3.5357941585163945E-3</v>
      </c>
      <c r="F186" s="55">
        <f t="shared" si="8"/>
        <v>2020</v>
      </c>
    </row>
    <row r="187" spans="1:6" x14ac:dyDescent="0.35">
      <c r="A187" s="69">
        <v>44195</v>
      </c>
      <c r="B187" s="54">
        <v>1576.06</v>
      </c>
      <c r="C187" s="54">
        <v>13981.95</v>
      </c>
      <c r="D187" s="54">
        <f t="shared" si="6"/>
        <v>-3.2238811207993018E-2</v>
      </c>
      <c r="E187" s="54">
        <f t="shared" si="7"/>
        <v>-1.4304258735754857E-5</v>
      </c>
      <c r="F187" s="55">
        <f t="shared" si="8"/>
        <v>2020</v>
      </c>
    </row>
    <row r="188" spans="1:6" x14ac:dyDescent="0.35">
      <c r="A188" s="69">
        <v>44196</v>
      </c>
      <c r="B188" s="54">
        <v>1526.06</v>
      </c>
      <c r="C188" s="54">
        <v>13981.75</v>
      </c>
      <c r="D188" s="54">
        <f t="shared" si="6"/>
        <v>-6.5480024636006993E-3</v>
      </c>
      <c r="E188" s="54">
        <f t="shared" si="7"/>
        <v>2.6249780699946659E-3</v>
      </c>
      <c r="F188" s="55">
        <f t="shared" si="8"/>
        <v>2020</v>
      </c>
    </row>
    <row r="189" spans="1:6" x14ac:dyDescent="0.35">
      <c r="A189" s="69">
        <v>44197</v>
      </c>
      <c r="B189" s="54">
        <v>1516.1</v>
      </c>
      <c r="C189" s="54">
        <v>14018.5</v>
      </c>
      <c r="D189" s="54">
        <f t="shared" si="6"/>
        <v>-6.9165494560855531E-3</v>
      </c>
      <c r="E189" s="54">
        <f t="shared" si="7"/>
        <v>8.1275268540661298E-3</v>
      </c>
      <c r="F189" s="55">
        <f t="shared" si="8"/>
        <v>2021</v>
      </c>
    </row>
    <row r="190" spans="1:6" x14ac:dyDescent="0.35">
      <c r="A190" s="69">
        <v>44200</v>
      </c>
      <c r="B190" s="54">
        <v>1505.65</v>
      </c>
      <c r="C190" s="54">
        <v>14132.9</v>
      </c>
      <c r="D190" s="54">
        <f t="shared" si="6"/>
        <v>4.0187116974617597E-2</v>
      </c>
      <c r="E190" s="54">
        <f t="shared" si="7"/>
        <v>4.7013399972732585E-3</v>
      </c>
      <c r="F190" s="55">
        <f t="shared" si="8"/>
        <v>2021</v>
      </c>
    </row>
    <row r="191" spans="1:6" x14ac:dyDescent="0.35">
      <c r="A191" s="69">
        <v>44201</v>
      </c>
      <c r="B191" s="54">
        <v>1567.39</v>
      </c>
      <c r="C191" s="54">
        <v>14199.5</v>
      </c>
      <c r="D191" s="54">
        <f t="shared" si="6"/>
        <v>2.1329041802315919E-2</v>
      </c>
      <c r="E191" s="54">
        <f t="shared" si="7"/>
        <v>-3.7571814216639365E-3</v>
      </c>
      <c r="F191" s="55">
        <f t="shared" si="8"/>
        <v>2021</v>
      </c>
    </row>
    <row r="192" spans="1:6" x14ac:dyDescent="0.35">
      <c r="A192" s="69">
        <v>44202</v>
      </c>
      <c r="B192" s="54">
        <v>1601.18</v>
      </c>
      <c r="C192" s="54">
        <v>14146.25</v>
      </c>
      <c r="D192" s="54">
        <f t="shared" si="6"/>
        <v>2.8821574061032935E-2</v>
      </c>
      <c r="E192" s="54">
        <f t="shared" si="7"/>
        <v>-6.2933999163826448E-4</v>
      </c>
      <c r="F192" s="55">
        <f t="shared" si="8"/>
        <v>2021</v>
      </c>
    </row>
    <row r="193" spans="1:6" x14ac:dyDescent="0.35">
      <c r="A193" s="69">
        <v>44203</v>
      </c>
      <c r="B193" s="54">
        <v>1648</v>
      </c>
      <c r="C193" s="54">
        <v>14137.35</v>
      </c>
      <c r="D193" s="54">
        <f t="shared" si="6"/>
        <v>-1.435004395559218E-2</v>
      </c>
      <c r="E193" s="54">
        <f t="shared" si="7"/>
        <v>1.4738054903755111E-2</v>
      </c>
      <c r="F193" s="55">
        <f t="shared" si="8"/>
        <v>2021</v>
      </c>
    </row>
    <row r="194" spans="1:6" x14ac:dyDescent="0.35">
      <c r="A194" s="69">
        <v>44204</v>
      </c>
      <c r="B194" s="54">
        <v>1624.52</v>
      </c>
      <c r="C194" s="54">
        <v>14347.25</v>
      </c>
      <c r="D194" s="54">
        <f t="shared" ref="D194:D257" si="9">LN(B195/B194)</f>
        <v>3.5852634214434111E-2</v>
      </c>
      <c r="E194" s="54">
        <f t="shared" ref="E194:E257" si="10">LN(C195/C194)</f>
        <v>9.5380856285503194E-3</v>
      </c>
      <c r="F194" s="55">
        <f t="shared" ref="F194:F257" si="11">YEAR(A194)</f>
        <v>2021</v>
      </c>
    </row>
    <row r="195" spans="1:6" x14ac:dyDescent="0.35">
      <c r="A195" s="69">
        <v>44207</v>
      </c>
      <c r="B195" s="54">
        <v>1683.82</v>
      </c>
      <c r="C195" s="54">
        <v>14484.75</v>
      </c>
      <c r="D195" s="54">
        <f t="shared" si="9"/>
        <v>-2.4906435023535067E-2</v>
      </c>
      <c r="E195" s="54">
        <f t="shared" si="10"/>
        <v>5.4185934109614508E-3</v>
      </c>
      <c r="F195" s="55">
        <f t="shared" si="11"/>
        <v>2021</v>
      </c>
    </row>
    <row r="196" spans="1:6" x14ac:dyDescent="0.35">
      <c r="A196" s="69">
        <v>44208</v>
      </c>
      <c r="B196" s="54">
        <v>1642.4</v>
      </c>
      <c r="C196" s="54">
        <v>14563.45</v>
      </c>
      <c r="D196" s="54">
        <f t="shared" si="9"/>
        <v>-3.6232144697863253E-3</v>
      </c>
      <c r="E196" s="54">
        <f t="shared" si="10"/>
        <v>9.6126447549449345E-5</v>
      </c>
      <c r="F196" s="55">
        <f t="shared" si="11"/>
        <v>2021</v>
      </c>
    </row>
    <row r="197" spans="1:6" x14ac:dyDescent="0.35">
      <c r="A197" s="69">
        <v>44209</v>
      </c>
      <c r="B197" s="54">
        <v>1636.46</v>
      </c>
      <c r="C197" s="54">
        <v>14564.85</v>
      </c>
      <c r="D197" s="54">
        <f t="shared" si="9"/>
        <v>2.6764245592569728E-2</v>
      </c>
      <c r="E197" s="54">
        <f t="shared" si="10"/>
        <v>2.1090217330616886E-3</v>
      </c>
      <c r="F197" s="55">
        <f t="shared" si="11"/>
        <v>2021</v>
      </c>
    </row>
    <row r="198" spans="1:6" x14ac:dyDescent="0.35">
      <c r="A198" s="69">
        <v>44210</v>
      </c>
      <c r="B198" s="54">
        <v>1680.85</v>
      </c>
      <c r="C198" s="54">
        <v>14595.6</v>
      </c>
      <c r="D198" s="54">
        <f t="shared" si="9"/>
        <v>-1.7004273682759436E-2</v>
      </c>
      <c r="E198" s="54">
        <f t="shared" si="10"/>
        <v>-1.1154363255555686E-2</v>
      </c>
      <c r="F198" s="55">
        <f t="shared" si="11"/>
        <v>2021</v>
      </c>
    </row>
    <row r="199" spans="1:6" x14ac:dyDescent="0.35">
      <c r="A199" s="69">
        <v>44211</v>
      </c>
      <c r="B199" s="54">
        <v>1652.51</v>
      </c>
      <c r="C199" s="54">
        <v>14433.7</v>
      </c>
      <c r="D199" s="54">
        <f t="shared" si="9"/>
        <v>-1.9714885836922495E-2</v>
      </c>
      <c r="E199" s="54">
        <f t="shared" si="10"/>
        <v>-1.061476099225705E-2</v>
      </c>
      <c r="F199" s="55">
        <f t="shared" si="11"/>
        <v>2021</v>
      </c>
    </row>
    <row r="200" spans="1:6" x14ac:dyDescent="0.35">
      <c r="A200" s="69">
        <v>44214</v>
      </c>
      <c r="B200" s="54">
        <v>1620.25</v>
      </c>
      <c r="C200" s="54">
        <v>14281.3</v>
      </c>
      <c r="D200" s="54">
        <f t="shared" si="9"/>
        <v>-1.1190290768618555E-2</v>
      </c>
      <c r="E200" s="54">
        <f t="shared" si="10"/>
        <v>1.6655218179895549E-2</v>
      </c>
      <c r="F200" s="55">
        <f t="shared" si="11"/>
        <v>2021</v>
      </c>
    </row>
    <row r="201" spans="1:6" x14ac:dyDescent="0.35">
      <c r="A201" s="69">
        <v>44215</v>
      </c>
      <c r="B201" s="54">
        <v>1602.22</v>
      </c>
      <c r="C201" s="54">
        <v>14521.15</v>
      </c>
      <c r="D201" s="54">
        <f t="shared" si="9"/>
        <v>1.8563136996286013E-2</v>
      </c>
      <c r="E201" s="54">
        <f t="shared" si="10"/>
        <v>8.4722879004422193E-3</v>
      </c>
      <c r="F201" s="55">
        <f t="shared" si="11"/>
        <v>2021</v>
      </c>
    </row>
    <row r="202" spans="1:6" x14ac:dyDescent="0.35">
      <c r="A202" s="69">
        <v>44216</v>
      </c>
      <c r="B202" s="54">
        <v>1632.24</v>
      </c>
      <c r="C202" s="54">
        <v>14644.7</v>
      </c>
      <c r="D202" s="54">
        <f t="shared" si="9"/>
        <v>-2.8605781530909716E-2</v>
      </c>
      <c r="E202" s="54">
        <f t="shared" si="10"/>
        <v>-3.7181439822322328E-3</v>
      </c>
      <c r="F202" s="55">
        <f t="shared" si="11"/>
        <v>2021</v>
      </c>
    </row>
    <row r="203" spans="1:6" x14ac:dyDescent="0.35">
      <c r="A203" s="69">
        <v>44217</v>
      </c>
      <c r="B203" s="54">
        <v>1586.21</v>
      </c>
      <c r="C203" s="54">
        <v>14590.35</v>
      </c>
      <c r="D203" s="54">
        <f t="shared" si="9"/>
        <v>-9.9658143001088071E-4</v>
      </c>
      <c r="E203" s="54">
        <f t="shared" si="10"/>
        <v>-1.5085440027319255E-2</v>
      </c>
      <c r="F203" s="55">
        <f t="shared" si="11"/>
        <v>2021</v>
      </c>
    </row>
    <row r="204" spans="1:6" x14ac:dyDescent="0.35">
      <c r="A204" s="69">
        <v>44218</v>
      </c>
      <c r="B204" s="54">
        <v>1584.63</v>
      </c>
      <c r="C204" s="54">
        <v>14371.9</v>
      </c>
      <c r="D204" s="54">
        <f t="shared" si="9"/>
        <v>-4.9851750308116992E-3</v>
      </c>
      <c r="E204" s="54">
        <f t="shared" si="10"/>
        <v>-9.2972554441269287E-3</v>
      </c>
      <c r="F204" s="55">
        <f t="shared" si="11"/>
        <v>2021</v>
      </c>
    </row>
    <row r="205" spans="1:6" x14ac:dyDescent="0.35">
      <c r="A205" s="69">
        <v>44221</v>
      </c>
      <c r="B205" s="54">
        <v>1576.75</v>
      </c>
      <c r="C205" s="54">
        <v>14238.9</v>
      </c>
      <c r="D205" s="54">
        <f t="shared" si="9"/>
        <v>-3.3351893061383505E-3</v>
      </c>
      <c r="E205" s="54">
        <f t="shared" si="10"/>
        <v>-1.9244453457933762E-2</v>
      </c>
      <c r="F205" s="55">
        <f t="shared" si="11"/>
        <v>2021</v>
      </c>
    </row>
    <row r="206" spans="1:6" x14ac:dyDescent="0.35">
      <c r="A206" s="69">
        <v>44223</v>
      </c>
      <c r="B206" s="54">
        <v>1571.5</v>
      </c>
      <c r="C206" s="54">
        <v>13967.5</v>
      </c>
      <c r="D206" s="54">
        <f t="shared" si="9"/>
        <v>-1.9294070664208126E-2</v>
      </c>
      <c r="E206" s="54">
        <f t="shared" si="10"/>
        <v>-1.0793679032831009E-2</v>
      </c>
      <c r="F206" s="55">
        <f t="shared" si="11"/>
        <v>2021</v>
      </c>
    </row>
    <row r="207" spans="1:6" x14ac:dyDescent="0.35">
      <c r="A207" s="69">
        <v>44224</v>
      </c>
      <c r="B207" s="54">
        <v>1541.47</v>
      </c>
      <c r="C207" s="54">
        <v>13817.55</v>
      </c>
      <c r="D207" s="54">
        <f t="shared" si="9"/>
        <v>-1.5645903843829068E-2</v>
      </c>
      <c r="E207" s="54">
        <f t="shared" si="10"/>
        <v>-1.3328843718060656E-2</v>
      </c>
      <c r="F207" s="55">
        <f t="shared" si="11"/>
        <v>2021</v>
      </c>
    </row>
    <row r="208" spans="1:6" x14ac:dyDescent="0.35">
      <c r="A208" s="69">
        <v>44225</v>
      </c>
      <c r="B208" s="54">
        <v>1517.54</v>
      </c>
      <c r="C208" s="54">
        <v>13634.6</v>
      </c>
      <c r="D208" s="54">
        <f t="shared" si="9"/>
        <v>-9.1637583093211465E-4</v>
      </c>
      <c r="E208" s="54">
        <f t="shared" si="10"/>
        <v>4.6333307393982406E-2</v>
      </c>
      <c r="F208" s="55">
        <f t="shared" si="11"/>
        <v>2021</v>
      </c>
    </row>
    <row r="209" spans="1:6" x14ac:dyDescent="0.35">
      <c r="A209" s="69">
        <v>44228</v>
      </c>
      <c r="B209" s="54">
        <v>1516.15</v>
      </c>
      <c r="C209" s="54">
        <v>14281.2</v>
      </c>
      <c r="D209" s="54">
        <f t="shared" si="9"/>
        <v>2.7620171504596936E-2</v>
      </c>
      <c r="E209" s="54">
        <f t="shared" si="10"/>
        <v>2.5349580019676167E-2</v>
      </c>
      <c r="F209" s="55">
        <f t="shared" si="11"/>
        <v>2021</v>
      </c>
    </row>
    <row r="210" spans="1:6" x14ac:dyDescent="0.35">
      <c r="A210" s="69">
        <v>44229</v>
      </c>
      <c r="B210" s="54">
        <v>1558.61</v>
      </c>
      <c r="C210" s="54">
        <v>14647.85</v>
      </c>
      <c r="D210" s="54">
        <f t="shared" si="9"/>
        <v>1.1539656840186195E-2</v>
      </c>
      <c r="E210" s="54">
        <f t="shared" si="10"/>
        <v>9.6543290404505731E-3</v>
      </c>
      <c r="F210" s="55">
        <f t="shared" si="11"/>
        <v>2021</v>
      </c>
    </row>
    <row r="211" spans="1:6" x14ac:dyDescent="0.35">
      <c r="A211" s="69">
        <v>44230</v>
      </c>
      <c r="B211" s="54">
        <v>1576.7</v>
      </c>
      <c r="C211" s="54">
        <v>14789.95</v>
      </c>
      <c r="D211" s="54">
        <f t="shared" si="9"/>
        <v>-9.7720084175578412E-4</v>
      </c>
      <c r="E211" s="54">
        <f t="shared" si="10"/>
        <v>7.1213279636845117E-3</v>
      </c>
      <c r="F211" s="55">
        <f t="shared" si="11"/>
        <v>2021</v>
      </c>
    </row>
    <row r="212" spans="1:6" x14ac:dyDescent="0.35">
      <c r="A212" s="69">
        <v>44231</v>
      </c>
      <c r="B212" s="54">
        <v>1575.16</v>
      </c>
      <c r="C212" s="54">
        <v>14895.65</v>
      </c>
      <c r="D212" s="54">
        <f t="shared" si="9"/>
        <v>-9.4146557691788257E-3</v>
      </c>
      <c r="E212" s="54">
        <f t="shared" si="10"/>
        <v>1.9181827416789982E-3</v>
      </c>
      <c r="F212" s="55">
        <f t="shared" si="11"/>
        <v>2021</v>
      </c>
    </row>
    <row r="213" spans="1:6" x14ac:dyDescent="0.35">
      <c r="A213" s="69">
        <v>44232</v>
      </c>
      <c r="B213" s="54">
        <v>1560.4</v>
      </c>
      <c r="C213" s="54">
        <v>14924.25</v>
      </c>
      <c r="D213" s="54">
        <f t="shared" si="9"/>
        <v>3.5865357427849992E-2</v>
      </c>
      <c r="E213" s="54">
        <f t="shared" si="10"/>
        <v>1.2753147626468448E-2</v>
      </c>
      <c r="F213" s="55">
        <f t="shared" si="11"/>
        <v>2021</v>
      </c>
    </row>
    <row r="214" spans="1:6" x14ac:dyDescent="0.35">
      <c r="A214" s="69">
        <v>44235</v>
      </c>
      <c r="B214" s="54">
        <v>1617.38</v>
      </c>
      <c r="C214" s="54">
        <v>15115.8</v>
      </c>
      <c r="D214" s="54">
        <f t="shared" si="9"/>
        <v>9.2070120986586651E-3</v>
      </c>
      <c r="E214" s="54">
        <f t="shared" si="10"/>
        <v>-4.3010611049781671E-4</v>
      </c>
      <c r="F214" s="55">
        <f t="shared" si="11"/>
        <v>2021</v>
      </c>
    </row>
    <row r="215" spans="1:6" x14ac:dyDescent="0.35">
      <c r="A215" s="69">
        <v>44236</v>
      </c>
      <c r="B215" s="54">
        <v>1632.34</v>
      </c>
      <c r="C215" s="54">
        <v>15109.3</v>
      </c>
      <c r="D215" s="54">
        <f t="shared" si="9"/>
        <v>-4.8945198749572785E-3</v>
      </c>
      <c r="E215" s="54">
        <f t="shared" si="10"/>
        <v>-1.8533350154651584E-4</v>
      </c>
      <c r="F215" s="55">
        <f t="shared" si="11"/>
        <v>2021</v>
      </c>
    </row>
    <row r="216" spans="1:6" x14ac:dyDescent="0.35">
      <c r="A216" s="69">
        <v>44237</v>
      </c>
      <c r="B216" s="54">
        <v>1624.37</v>
      </c>
      <c r="C216" s="54">
        <v>15106.5</v>
      </c>
      <c r="D216" s="54">
        <f t="shared" si="9"/>
        <v>-4.4361566480775891E-3</v>
      </c>
      <c r="E216" s="54">
        <f t="shared" si="10"/>
        <v>4.4121895368252834E-3</v>
      </c>
      <c r="F216" s="55">
        <f t="shared" si="11"/>
        <v>2021</v>
      </c>
    </row>
    <row r="217" spans="1:6" x14ac:dyDescent="0.35">
      <c r="A217" s="69">
        <v>44238</v>
      </c>
      <c r="B217" s="54">
        <v>1617.18</v>
      </c>
      <c r="C217" s="54">
        <v>15173.3</v>
      </c>
      <c r="D217" s="54">
        <f t="shared" si="9"/>
        <v>8.8772368074277706E-3</v>
      </c>
      <c r="E217" s="54">
        <f t="shared" si="10"/>
        <v>-6.592696849480349E-4</v>
      </c>
      <c r="F217" s="55">
        <f t="shared" si="11"/>
        <v>2021</v>
      </c>
    </row>
    <row r="218" spans="1:6" x14ac:dyDescent="0.35">
      <c r="A218" s="69">
        <v>44239</v>
      </c>
      <c r="B218" s="54">
        <v>1631.6</v>
      </c>
      <c r="C218" s="54">
        <v>15163.3</v>
      </c>
      <c r="D218" s="54">
        <f t="shared" si="9"/>
        <v>1.4680870730508083E-2</v>
      </c>
      <c r="E218" s="54">
        <f t="shared" si="10"/>
        <v>9.9351168282398004E-3</v>
      </c>
      <c r="F218" s="55">
        <f t="shared" si="11"/>
        <v>2021</v>
      </c>
    </row>
    <row r="219" spans="1:6" x14ac:dyDescent="0.35">
      <c r="A219" s="69">
        <v>44242</v>
      </c>
      <c r="B219" s="54">
        <v>1655.73</v>
      </c>
      <c r="C219" s="54">
        <v>15314.7</v>
      </c>
      <c r="D219" s="54">
        <f t="shared" si="9"/>
        <v>7.6350716099947294E-3</v>
      </c>
      <c r="E219" s="54">
        <f t="shared" si="10"/>
        <v>-8.1624257468665355E-5</v>
      </c>
      <c r="F219" s="55">
        <f t="shared" si="11"/>
        <v>2021</v>
      </c>
    </row>
    <row r="220" spans="1:6" x14ac:dyDescent="0.35">
      <c r="A220" s="69">
        <v>44243</v>
      </c>
      <c r="B220" s="54">
        <v>1668.42</v>
      </c>
      <c r="C220" s="54">
        <v>15313.45</v>
      </c>
      <c r="D220" s="54">
        <f t="shared" si="9"/>
        <v>-2.3260246844611827E-2</v>
      </c>
      <c r="E220" s="54">
        <f t="shared" si="10"/>
        <v>-6.8507443824488076E-3</v>
      </c>
      <c r="F220" s="55">
        <f t="shared" si="11"/>
        <v>2021</v>
      </c>
    </row>
    <row r="221" spans="1:6" x14ac:dyDescent="0.35">
      <c r="A221" s="69">
        <v>44244</v>
      </c>
      <c r="B221" s="54">
        <v>1630.06</v>
      </c>
      <c r="C221" s="54">
        <v>15208.9</v>
      </c>
      <c r="D221" s="54">
        <f t="shared" si="9"/>
        <v>2.9474341720563398E-2</v>
      </c>
      <c r="E221" s="54">
        <f t="shared" si="10"/>
        <v>-5.9318589188062558E-3</v>
      </c>
      <c r="F221" s="55">
        <f t="shared" si="11"/>
        <v>2021</v>
      </c>
    </row>
    <row r="222" spans="1:6" x14ac:dyDescent="0.35">
      <c r="A222" s="69">
        <v>44245</v>
      </c>
      <c r="B222" s="54">
        <v>1678.82</v>
      </c>
      <c r="C222" s="54">
        <v>15118.95</v>
      </c>
      <c r="D222" s="54">
        <f t="shared" si="9"/>
        <v>-3.2516085316669067E-3</v>
      </c>
      <c r="E222" s="54">
        <f t="shared" si="10"/>
        <v>-9.1161301997941639E-3</v>
      </c>
      <c r="F222" s="55">
        <f t="shared" si="11"/>
        <v>2021</v>
      </c>
    </row>
    <row r="223" spans="1:6" x14ac:dyDescent="0.35">
      <c r="A223" s="69">
        <v>44246</v>
      </c>
      <c r="B223" s="54">
        <v>1673.37</v>
      </c>
      <c r="C223" s="54">
        <v>14981.75</v>
      </c>
      <c r="D223" s="54">
        <f t="shared" si="9"/>
        <v>6.4036150426494669E-3</v>
      </c>
      <c r="E223" s="54">
        <f t="shared" si="10"/>
        <v>-2.0639728948870298E-2</v>
      </c>
      <c r="F223" s="55">
        <f t="shared" si="11"/>
        <v>2021</v>
      </c>
    </row>
    <row r="224" spans="1:6" x14ac:dyDescent="0.35">
      <c r="A224" s="69">
        <v>44249</v>
      </c>
      <c r="B224" s="54">
        <v>1684.12</v>
      </c>
      <c r="C224" s="54">
        <v>14675.7</v>
      </c>
      <c r="D224" s="54">
        <f t="shared" si="9"/>
        <v>2.6450399146971705E-2</v>
      </c>
      <c r="E224" s="54">
        <f t="shared" si="10"/>
        <v>2.1849005577883308E-3</v>
      </c>
      <c r="F224" s="55">
        <f t="shared" si="11"/>
        <v>2021</v>
      </c>
    </row>
    <row r="225" spans="1:6" x14ac:dyDescent="0.35">
      <c r="A225" s="69">
        <v>44250</v>
      </c>
      <c r="B225" s="54">
        <v>1729.26</v>
      </c>
      <c r="C225" s="54">
        <v>14707.8</v>
      </c>
      <c r="D225" s="54">
        <f t="shared" si="9"/>
        <v>-2.9453502626311152E-2</v>
      </c>
      <c r="E225" s="54">
        <f t="shared" si="10"/>
        <v>1.8471515221001902E-2</v>
      </c>
      <c r="F225" s="55">
        <f t="shared" si="11"/>
        <v>2021</v>
      </c>
    </row>
    <row r="226" spans="1:6" x14ac:dyDescent="0.35">
      <c r="A226" s="69">
        <v>44251</v>
      </c>
      <c r="B226" s="54">
        <v>1679.07</v>
      </c>
      <c r="C226" s="54">
        <v>14982</v>
      </c>
      <c r="D226" s="54">
        <f t="shared" si="9"/>
        <v>-2.5496952494138657E-2</v>
      </c>
      <c r="E226" s="54">
        <f t="shared" si="10"/>
        <v>7.6697512051000366E-3</v>
      </c>
      <c r="F226" s="55">
        <f t="shared" si="11"/>
        <v>2021</v>
      </c>
    </row>
    <row r="227" spans="1:6" x14ac:dyDescent="0.35">
      <c r="A227" s="69">
        <v>44252</v>
      </c>
      <c r="B227" s="54">
        <v>1636.8</v>
      </c>
      <c r="C227" s="54">
        <v>15097.35</v>
      </c>
      <c r="D227" s="54">
        <f t="shared" si="9"/>
        <v>-2.9062228877188893E-3</v>
      </c>
      <c r="E227" s="54">
        <f t="shared" si="10"/>
        <v>-3.8362255515655551E-2</v>
      </c>
      <c r="F227" s="55">
        <f t="shared" si="11"/>
        <v>2021</v>
      </c>
    </row>
    <row r="228" spans="1:6" x14ac:dyDescent="0.35">
      <c r="A228" s="69">
        <v>44253</v>
      </c>
      <c r="B228" s="54">
        <v>1632.05</v>
      </c>
      <c r="C228" s="54">
        <v>14529.15</v>
      </c>
      <c r="D228" s="54">
        <f t="shared" si="9"/>
        <v>-4.6245057958182977E-3</v>
      </c>
      <c r="E228" s="54">
        <f t="shared" si="10"/>
        <v>1.5868850993789412E-2</v>
      </c>
      <c r="F228" s="55">
        <f t="shared" si="11"/>
        <v>2021</v>
      </c>
    </row>
    <row r="229" spans="1:6" x14ac:dyDescent="0.35">
      <c r="A229" s="69">
        <v>44256</v>
      </c>
      <c r="B229" s="54">
        <v>1624.52</v>
      </c>
      <c r="C229" s="54">
        <v>14761.55</v>
      </c>
      <c r="D229" s="54">
        <f t="shared" si="9"/>
        <v>2.9298437531039563E-2</v>
      </c>
      <c r="E229" s="54">
        <f t="shared" si="10"/>
        <v>1.0616444031444284E-2</v>
      </c>
      <c r="F229" s="55">
        <f t="shared" si="11"/>
        <v>2021</v>
      </c>
    </row>
    <row r="230" spans="1:6" x14ac:dyDescent="0.35">
      <c r="A230" s="69">
        <v>44257</v>
      </c>
      <c r="B230" s="54">
        <v>1672.82</v>
      </c>
      <c r="C230" s="54">
        <v>14919.1</v>
      </c>
      <c r="D230" s="54">
        <f t="shared" si="9"/>
        <v>4.699548237656565E-3</v>
      </c>
      <c r="E230" s="54">
        <f t="shared" si="10"/>
        <v>2.1648665591659878E-2</v>
      </c>
      <c r="F230" s="55">
        <f t="shared" si="11"/>
        <v>2021</v>
      </c>
    </row>
    <row r="231" spans="1:6" x14ac:dyDescent="0.35">
      <c r="A231" s="69">
        <v>44258</v>
      </c>
      <c r="B231" s="54">
        <v>1680.7</v>
      </c>
      <c r="C231" s="54">
        <v>15245.6</v>
      </c>
      <c r="D231" s="54">
        <f t="shared" si="9"/>
        <v>-5.1420128925477116E-3</v>
      </c>
      <c r="E231" s="54">
        <f t="shared" si="10"/>
        <v>-1.0871840740940207E-2</v>
      </c>
      <c r="F231" s="55">
        <f t="shared" si="11"/>
        <v>2021</v>
      </c>
    </row>
    <row r="232" spans="1:6" x14ac:dyDescent="0.35">
      <c r="A232" s="69">
        <v>44259</v>
      </c>
      <c r="B232" s="54">
        <v>1672.08</v>
      </c>
      <c r="C232" s="54">
        <v>15080.75</v>
      </c>
      <c r="D232" s="54">
        <f t="shared" si="9"/>
        <v>-3.1666902826404636E-2</v>
      </c>
      <c r="E232" s="54">
        <f t="shared" si="10"/>
        <v>-9.5040998420298489E-3</v>
      </c>
      <c r="F232" s="55">
        <f t="shared" si="11"/>
        <v>2021</v>
      </c>
    </row>
    <row r="233" spans="1:6" x14ac:dyDescent="0.35">
      <c r="A233" s="69">
        <v>44260</v>
      </c>
      <c r="B233" s="54">
        <v>1619.96</v>
      </c>
      <c r="C233" s="54">
        <v>14938.1</v>
      </c>
      <c r="D233" s="54">
        <f t="shared" si="9"/>
        <v>-1.3955290550563293E-2</v>
      </c>
      <c r="E233" s="54">
        <f t="shared" si="10"/>
        <v>1.2109333359041415E-3</v>
      </c>
      <c r="F233" s="55">
        <f t="shared" si="11"/>
        <v>2021</v>
      </c>
    </row>
    <row r="234" spans="1:6" x14ac:dyDescent="0.35">
      <c r="A234" s="69">
        <v>44263</v>
      </c>
      <c r="B234" s="54">
        <v>1597.51</v>
      </c>
      <c r="C234" s="54">
        <v>14956.2</v>
      </c>
      <c r="D234" s="54">
        <f t="shared" si="9"/>
        <v>-1.1952132810699822E-2</v>
      </c>
      <c r="E234" s="54">
        <f t="shared" si="10"/>
        <v>9.4628483568291177E-3</v>
      </c>
      <c r="F234" s="55">
        <f t="shared" si="11"/>
        <v>2021</v>
      </c>
    </row>
    <row r="235" spans="1:6" x14ac:dyDescent="0.35">
      <c r="A235" s="69">
        <v>44264</v>
      </c>
      <c r="B235" s="54">
        <v>1578.53</v>
      </c>
      <c r="C235" s="54">
        <v>15098.4</v>
      </c>
      <c r="D235" s="54">
        <f t="shared" si="9"/>
        <v>3.3220306332895945E-2</v>
      </c>
      <c r="E235" s="54">
        <f t="shared" si="10"/>
        <v>5.0473793452542595E-3</v>
      </c>
      <c r="F235" s="55">
        <f t="shared" si="11"/>
        <v>2021</v>
      </c>
    </row>
    <row r="236" spans="1:6" x14ac:dyDescent="0.35">
      <c r="A236" s="69">
        <v>44265</v>
      </c>
      <c r="B236" s="54">
        <v>1631.85</v>
      </c>
      <c r="C236" s="54">
        <v>15174.8</v>
      </c>
      <c r="D236" s="54">
        <f t="shared" si="9"/>
        <v>-1.8136950319037028E-2</v>
      </c>
      <c r="E236" s="54">
        <f t="shared" si="10"/>
        <v>-9.5247486001423468E-3</v>
      </c>
      <c r="F236" s="55">
        <f t="shared" si="11"/>
        <v>2021</v>
      </c>
    </row>
    <row r="237" spans="1:6" x14ac:dyDescent="0.35">
      <c r="A237" s="69">
        <v>44267</v>
      </c>
      <c r="B237" s="54">
        <v>1602.52</v>
      </c>
      <c r="C237" s="54">
        <v>15030.95</v>
      </c>
      <c r="D237" s="54">
        <f t="shared" si="9"/>
        <v>6.9894696721961849E-3</v>
      </c>
      <c r="E237" s="54">
        <f t="shared" si="10"/>
        <v>-6.7722873148135217E-3</v>
      </c>
      <c r="F237" s="55">
        <f t="shared" si="11"/>
        <v>2021</v>
      </c>
    </row>
    <row r="238" spans="1:6" x14ac:dyDescent="0.35">
      <c r="A238" s="69">
        <v>44270</v>
      </c>
      <c r="B238" s="54">
        <v>1613.76</v>
      </c>
      <c r="C238" s="54">
        <v>14929.5</v>
      </c>
      <c r="D238" s="54">
        <f t="shared" si="9"/>
        <v>6.0957001747246012E-2</v>
      </c>
      <c r="E238" s="54">
        <f t="shared" si="10"/>
        <v>-1.2768119643645321E-3</v>
      </c>
      <c r="F238" s="55">
        <f t="shared" si="11"/>
        <v>2021</v>
      </c>
    </row>
    <row r="239" spans="1:6" x14ac:dyDescent="0.35">
      <c r="A239" s="69">
        <v>44271</v>
      </c>
      <c r="B239" s="54">
        <v>1715.19</v>
      </c>
      <c r="C239" s="54">
        <v>14910.45</v>
      </c>
      <c r="D239" s="54">
        <f t="shared" si="9"/>
        <v>-2.7532917137526345E-2</v>
      </c>
      <c r="E239" s="54">
        <f t="shared" si="10"/>
        <v>-1.2766884789164224E-2</v>
      </c>
      <c r="F239" s="55">
        <f t="shared" si="11"/>
        <v>2021</v>
      </c>
    </row>
    <row r="240" spans="1:6" x14ac:dyDescent="0.35">
      <c r="A240" s="69">
        <v>44272</v>
      </c>
      <c r="B240" s="54">
        <v>1668.61</v>
      </c>
      <c r="C240" s="54">
        <v>14721.3</v>
      </c>
      <c r="D240" s="54">
        <f t="shared" si="9"/>
        <v>-2.7726978918319201E-2</v>
      </c>
      <c r="E240" s="54">
        <f t="shared" si="10"/>
        <v>-1.1165057588712252E-2</v>
      </c>
      <c r="F240" s="55">
        <f t="shared" si="11"/>
        <v>2021</v>
      </c>
    </row>
    <row r="241" spans="1:6" x14ac:dyDescent="0.35">
      <c r="A241" s="69">
        <v>44273</v>
      </c>
      <c r="B241" s="54">
        <v>1622.98</v>
      </c>
      <c r="C241" s="54">
        <v>14557.85</v>
      </c>
      <c r="D241" s="54">
        <f t="shared" si="9"/>
        <v>1.72807232197601E-2</v>
      </c>
      <c r="E241" s="54">
        <f t="shared" si="10"/>
        <v>1.270585333767231E-2</v>
      </c>
      <c r="F241" s="55">
        <f t="shared" si="11"/>
        <v>2021</v>
      </c>
    </row>
    <row r="242" spans="1:6" x14ac:dyDescent="0.35">
      <c r="A242" s="69">
        <v>44274</v>
      </c>
      <c r="B242" s="54">
        <v>1651.27</v>
      </c>
      <c r="C242" s="54">
        <v>14744</v>
      </c>
      <c r="D242" s="54">
        <f t="shared" si="9"/>
        <v>2.2502776973149729E-3</v>
      </c>
      <c r="E242" s="54">
        <f t="shared" si="10"/>
        <v>-5.1559681472200872E-4</v>
      </c>
      <c r="F242" s="55">
        <f t="shared" si="11"/>
        <v>2021</v>
      </c>
    </row>
    <row r="243" spans="1:6" x14ac:dyDescent="0.35">
      <c r="A243" s="69">
        <v>44277</v>
      </c>
      <c r="B243" s="54">
        <v>1654.99</v>
      </c>
      <c r="C243" s="54">
        <v>14736.4</v>
      </c>
      <c r="D243" s="54">
        <f t="shared" si="9"/>
        <v>3.8837108054189766E-3</v>
      </c>
      <c r="E243" s="54">
        <f t="shared" si="10"/>
        <v>5.3026825412823587E-3</v>
      </c>
      <c r="F243" s="55">
        <f t="shared" si="11"/>
        <v>2021</v>
      </c>
    </row>
    <row r="244" spans="1:6" x14ac:dyDescent="0.35">
      <c r="A244" s="69">
        <v>44278</v>
      </c>
      <c r="B244" s="54">
        <v>1661.43</v>
      </c>
      <c r="C244" s="54">
        <v>14814.75</v>
      </c>
      <c r="D244" s="54">
        <f t="shared" si="9"/>
        <v>-2.446668690687488E-3</v>
      </c>
      <c r="E244" s="54">
        <f t="shared" si="10"/>
        <v>-1.8073550440256294E-2</v>
      </c>
      <c r="F244" s="55">
        <f t="shared" si="11"/>
        <v>2021</v>
      </c>
    </row>
    <row r="245" spans="1:6" x14ac:dyDescent="0.35">
      <c r="A245" s="69">
        <v>44279</v>
      </c>
      <c r="B245" s="54">
        <v>1657.37</v>
      </c>
      <c r="C245" s="54">
        <v>14549.4</v>
      </c>
      <c r="D245" s="54">
        <f t="shared" si="9"/>
        <v>3.8607942857222605E-4</v>
      </c>
      <c r="E245" s="54">
        <f t="shared" si="10"/>
        <v>-1.5550473880181296E-2</v>
      </c>
      <c r="F245" s="55">
        <f t="shared" si="11"/>
        <v>2021</v>
      </c>
    </row>
    <row r="246" spans="1:6" x14ac:dyDescent="0.35">
      <c r="A246" s="69">
        <v>44280</v>
      </c>
      <c r="B246" s="54">
        <v>1658.01</v>
      </c>
      <c r="C246" s="54">
        <v>14324.9</v>
      </c>
      <c r="D246" s="54">
        <f t="shared" si="9"/>
        <v>-2.2883344458537624E-2</v>
      </c>
      <c r="E246" s="54">
        <f t="shared" si="10"/>
        <v>1.2652689241181039E-2</v>
      </c>
      <c r="F246" s="55">
        <f t="shared" si="11"/>
        <v>2021</v>
      </c>
    </row>
    <row r="247" spans="1:6" x14ac:dyDescent="0.35">
      <c r="A247" s="69">
        <v>44281</v>
      </c>
      <c r="B247" s="54">
        <v>1620.5</v>
      </c>
      <c r="C247" s="54">
        <v>14507.3</v>
      </c>
      <c r="D247" s="54">
        <f t="shared" si="9"/>
        <v>8.4174383163422919E-2</v>
      </c>
      <c r="E247" s="54">
        <f t="shared" si="10"/>
        <v>2.3017873453048527E-2</v>
      </c>
      <c r="F247" s="55">
        <f t="shared" si="11"/>
        <v>2021</v>
      </c>
    </row>
    <row r="248" spans="1:6" x14ac:dyDescent="0.35">
      <c r="A248" s="69">
        <v>44285</v>
      </c>
      <c r="B248" s="54">
        <v>1762.81</v>
      </c>
      <c r="C248" s="54">
        <v>14845.1</v>
      </c>
      <c r="D248" s="54">
        <f t="shared" si="9"/>
        <v>-1.3226276234225348E-3</v>
      </c>
      <c r="E248" s="54">
        <f t="shared" si="10"/>
        <v>-1.0455203953802781E-2</v>
      </c>
      <c r="F248" s="55">
        <f t="shared" si="11"/>
        <v>2021</v>
      </c>
    </row>
    <row r="249" spans="1:6" x14ac:dyDescent="0.35">
      <c r="A249" s="69">
        <v>44286</v>
      </c>
      <c r="B249" s="54">
        <v>1760.48</v>
      </c>
      <c r="C249" s="54">
        <v>14690.7</v>
      </c>
      <c r="D249" s="54">
        <f t="shared" si="9"/>
        <v>-1.6286594577678597E-2</v>
      </c>
      <c r="E249" s="54">
        <f t="shared" si="10"/>
        <v>1.1952892913079521E-2</v>
      </c>
      <c r="F249" s="55">
        <f t="shared" si="11"/>
        <v>2021</v>
      </c>
    </row>
    <row r="250" spans="1:6" x14ac:dyDescent="0.35">
      <c r="A250" s="69">
        <v>44287</v>
      </c>
      <c r="B250" s="54">
        <v>1732.04</v>
      </c>
      <c r="C250" s="54">
        <v>14867.35</v>
      </c>
      <c r="D250" s="54">
        <f t="shared" si="9"/>
        <v>4.1655804031406575E-3</v>
      </c>
      <c r="E250" s="54">
        <f t="shared" si="10"/>
        <v>-1.5560309410181656E-2</v>
      </c>
      <c r="F250" s="55">
        <f t="shared" si="11"/>
        <v>2021</v>
      </c>
    </row>
    <row r="251" spans="1:6" x14ac:dyDescent="0.35">
      <c r="A251" s="69">
        <v>44291</v>
      </c>
      <c r="B251" s="54">
        <v>1739.27</v>
      </c>
      <c r="C251" s="54">
        <v>14637.8</v>
      </c>
      <c r="D251" s="54">
        <f t="shared" si="9"/>
        <v>-5.714087097267357E-3</v>
      </c>
      <c r="E251" s="54">
        <f t="shared" si="10"/>
        <v>3.1171903704882375E-3</v>
      </c>
      <c r="F251" s="55">
        <f t="shared" si="11"/>
        <v>2021</v>
      </c>
    </row>
    <row r="252" spans="1:6" x14ac:dyDescent="0.35">
      <c r="A252" s="69">
        <v>44292</v>
      </c>
      <c r="B252" s="54">
        <v>1729.36</v>
      </c>
      <c r="C252" s="54">
        <v>14683.5</v>
      </c>
      <c r="D252" s="54">
        <f t="shared" si="9"/>
        <v>-7.277655460604094E-3</v>
      </c>
      <c r="E252" s="54">
        <f t="shared" si="10"/>
        <v>9.1891008617233753E-3</v>
      </c>
      <c r="F252" s="55">
        <f t="shared" si="11"/>
        <v>2021</v>
      </c>
    </row>
    <row r="253" spans="1:6" x14ac:dyDescent="0.35">
      <c r="A253" s="69">
        <v>44293</v>
      </c>
      <c r="B253" s="54">
        <v>1716.82</v>
      </c>
      <c r="C253" s="54">
        <v>14819.05</v>
      </c>
      <c r="D253" s="54">
        <f t="shared" si="9"/>
        <v>1.5977042185209987E-2</v>
      </c>
      <c r="E253" s="54">
        <f t="shared" si="10"/>
        <v>3.6877606594222893E-3</v>
      </c>
      <c r="F253" s="55">
        <f t="shared" si="11"/>
        <v>2021</v>
      </c>
    </row>
    <row r="254" spans="1:6" x14ac:dyDescent="0.35">
      <c r="A254" s="69">
        <v>44294</v>
      </c>
      <c r="B254" s="54">
        <v>1744.47</v>
      </c>
      <c r="C254" s="54">
        <v>14873.8</v>
      </c>
      <c r="D254" s="54">
        <f t="shared" si="9"/>
        <v>2.3634075182496796E-2</v>
      </c>
      <c r="E254" s="54">
        <f t="shared" si="10"/>
        <v>-2.6221334403949922E-3</v>
      </c>
      <c r="F254" s="55">
        <f t="shared" si="11"/>
        <v>2021</v>
      </c>
    </row>
    <row r="255" spans="1:6" x14ac:dyDescent="0.35">
      <c r="A255" s="69">
        <v>44295</v>
      </c>
      <c r="B255" s="54">
        <v>1786.19</v>
      </c>
      <c r="C255" s="54">
        <v>14834.85</v>
      </c>
      <c r="D255" s="54">
        <f t="shared" si="9"/>
        <v>-3.5199896782201222E-2</v>
      </c>
      <c r="E255" s="54">
        <f t="shared" si="10"/>
        <v>-3.5964645500907659E-2</v>
      </c>
      <c r="F255" s="55">
        <f t="shared" si="11"/>
        <v>2021</v>
      </c>
    </row>
    <row r="256" spans="1:6" x14ac:dyDescent="0.35">
      <c r="A256" s="69">
        <v>44298</v>
      </c>
      <c r="B256" s="54">
        <v>1724.41</v>
      </c>
      <c r="C256" s="54">
        <v>14310.8</v>
      </c>
      <c r="D256" s="54">
        <f t="shared" si="9"/>
        <v>-3.3811369973487736E-2</v>
      </c>
      <c r="E256" s="54">
        <f t="shared" si="10"/>
        <v>1.346513216216128E-2</v>
      </c>
      <c r="F256" s="55">
        <f t="shared" si="11"/>
        <v>2021</v>
      </c>
    </row>
    <row r="257" spans="1:6" x14ac:dyDescent="0.35">
      <c r="A257" s="69">
        <v>44299</v>
      </c>
      <c r="B257" s="54">
        <v>1667.08</v>
      </c>
      <c r="C257" s="54">
        <v>14504.8</v>
      </c>
      <c r="D257" s="54">
        <f t="shared" si="9"/>
        <v>1.0466426064118675E-2</v>
      </c>
      <c r="E257" s="54">
        <f t="shared" si="10"/>
        <v>5.2705438092521557E-3</v>
      </c>
      <c r="F257" s="55">
        <f t="shared" si="11"/>
        <v>2021</v>
      </c>
    </row>
    <row r="258" spans="1:6" x14ac:dyDescent="0.35">
      <c r="A258" s="69">
        <v>44301</v>
      </c>
      <c r="B258" s="54">
        <v>1684.62</v>
      </c>
      <c r="C258" s="54">
        <v>14581.45</v>
      </c>
      <c r="D258" s="54">
        <f t="shared" ref="D258:D321" si="12">LN(B259/B258)</f>
        <v>4.8971085369769862E-3</v>
      </c>
      <c r="E258" s="54">
        <f t="shared" ref="E258:E321" si="13">LN(C259/C258)</f>
        <v>2.4932117451798913E-3</v>
      </c>
      <c r="F258" s="55">
        <f t="shared" ref="F258:F321" si="14">YEAR(A258)</f>
        <v>2021</v>
      </c>
    </row>
    <row r="259" spans="1:6" x14ac:dyDescent="0.35">
      <c r="A259" s="69">
        <v>44302</v>
      </c>
      <c r="B259" s="54">
        <v>1692.89</v>
      </c>
      <c r="C259" s="54">
        <v>14617.85</v>
      </c>
      <c r="D259" s="54">
        <f t="shared" si="12"/>
        <v>-3.0171467686079621E-3</v>
      </c>
      <c r="E259" s="54">
        <f t="shared" si="13"/>
        <v>-1.7835122632966233E-2</v>
      </c>
      <c r="F259" s="55">
        <f t="shared" si="14"/>
        <v>2021</v>
      </c>
    </row>
    <row r="260" spans="1:6" x14ac:dyDescent="0.35">
      <c r="A260" s="69">
        <v>44305</v>
      </c>
      <c r="B260" s="54">
        <v>1687.79</v>
      </c>
      <c r="C260" s="54">
        <v>14359.45</v>
      </c>
      <c r="D260" s="54">
        <f t="shared" si="12"/>
        <v>-2.7078751286544609E-2</v>
      </c>
      <c r="E260" s="54">
        <f t="shared" si="13"/>
        <v>-4.4005047307249922E-3</v>
      </c>
      <c r="F260" s="55">
        <f t="shared" si="14"/>
        <v>2021</v>
      </c>
    </row>
    <row r="261" spans="1:6" x14ac:dyDescent="0.35">
      <c r="A261" s="69">
        <v>44306</v>
      </c>
      <c r="B261" s="54">
        <v>1642.7</v>
      </c>
      <c r="C261" s="54">
        <v>14296.4</v>
      </c>
      <c r="D261" s="54">
        <f t="shared" si="12"/>
        <v>-9.0319604520869186E-3</v>
      </c>
      <c r="E261" s="54">
        <f t="shared" si="13"/>
        <v>7.6474414209569321E-3</v>
      </c>
      <c r="F261" s="55">
        <f t="shared" si="14"/>
        <v>2021</v>
      </c>
    </row>
    <row r="262" spans="1:6" x14ac:dyDescent="0.35">
      <c r="A262" s="69">
        <v>44308</v>
      </c>
      <c r="B262" s="54">
        <v>1627.93</v>
      </c>
      <c r="C262" s="54">
        <v>14406.15</v>
      </c>
      <c r="D262" s="54">
        <f t="shared" si="12"/>
        <v>3.2198555035894506E-2</v>
      </c>
      <c r="E262" s="54">
        <f t="shared" si="13"/>
        <v>-4.5082257413756278E-3</v>
      </c>
      <c r="F262" s="55">
        <f t="shared" si="14"/>
        <v>2021</v>
      </c>
    </row>
    <row r="263" spans="1:6" x14ac:dyDescent="0.35">
      <c r="A263" s="69">
        <v>44309</v>
      </c>
      <c r="B263" s="54">
        <v>1681.2</v>
      </c>
      <c r="C263" s="54">
        <v>14341.35</v>
      </c>
      <c r="D263" s="54">
        <f t="shared" si="12"/>
        <v>1.6254284907197731E-2</v>
      </c>
      <c r="E263" s="54">
        <f t="shared" si="13"/>
        <v>9.9666582215295584E-3</v>
      </c>
      <c r="F263" s="55">
        <f t="shared" si="14"/>
        <v>2021</v>
      </c>
    </row>
    <row r="264" spans="1:6" x14ac:dyDescent="0.35">
      <c r="A264" s="69">
        <v>44312</v>
      </c>
      <c r="B264" s="54">
        <v>1708.75</v>
      </c>
      <c r="C264" s="54">
        <v>14485</v>
      </c>
      <c r="D264" s="54">
        <f t="shared" si="12"/>
        <v>-1.116968405731688E-2</v>
      </c>
      <c r="E264" s="54">
        <f t="shared" si="13"/>
        <v>1.1534873699277236E-2</v>
      </c>
      <c r="F264" s="55">
        <f t="shared" si="14"/>
        <v>2021</v>
      </c>
    </row>
    <row r="265" spans="1:6" x14ac:dyDescent="0.35">
      <c r="A265" s="69">
        <v>44313</v>
      </c>
      <c r="B265" s="54">
        <v>1689.77</v>
      </c>
      <c r="C265" s="54">
        <v>14653.05</v>
      </c>
      <c r="D265" s="54">
        <f t="shared" si="12"/>
        <v>2.5336597347173643E-2</v>
      </c>
      <c r="E265" s="54">
        <f t="shared" si="13"/>
        <v>1.4330678619181423E-2</v>
      </c>
      <c r="F265" s="55">
        <f t="shared" si="14"/>
        <v>2021</v>
      </c>
    </row>
    <row r="266" spans="1:6" x14ac:dyDescent="0.35">
      <c r="A266" s="69">
        <v>44314</v>
      </c>
      <c r="B266" s="54">
        <v>1733.13</v>
      </c>
      <c r="C266" s="54">
        <v>14864.55</v>
      </c>
      <c r="D266" s="54">
        <f t="shared" si="12"/>
        <v>1.199267636118566E-2</v>
      </c>
      <c r="E266" s="54">
        <f t="shared" si="13"/>
        <v>2.0396889406337029E-3</v>
      </c>
      <c r="F266" s="55">
        <f t="shared" si="14"/>
        <v>2021</v>
      </c>
    </row>
    <row r="267" spans="1:6" x14ac:dyDescent="0.35">
      <c r="A267" s="69">
        <v>44315</v>
      </c>
      <c r="B267" s="54">
        <v>1754.04</v>
      </c>
      <c r="C267" s="54">
        <v>14894.9</v>
      </c>
      <c r="D267" s="54">
        <f t="shared" si="12"/>
        <v>-2.9461156590650868E-3</v>
      </c>
      <c r="E267" s="54">
        <f t="shared" si="13"/>
        <v>-1.7869472304921995E-2</v>
      </c>
      <c r="F267" s="55">
        <f t="shared" si="14"/>
        <v>2021</v>
      </c>
    </row>
    <row r="268" spans="1:6" x14ac:dyDescent="0.35">
      <c r="A268" s="69">
        <v>44316</v>
      </c>
      <c r="B268" s="54">
        <v>1748.88</v>
      </c>
      <c r="C268" s="54">
        <v>14631.1</v>
      </c>
      <c r="D268" s="54">
        <f t="shared" si="12"/>
        <v>1.182880695578209E-2</v>
      </c>
      <c r="E268" s="54">
        <f t="shared" si="13"/>
        <v>2.0843833632333135E-4</v>
      </c>
      <c r="F268" s="55">
        <f t="shared" si="14"/>
        <v>2021</v>
      </c>
    </row>
    <row r="269" spans="1:6" x14ac:dyDescent="0.35">
      <c r="A269" s="69">
        <v>44319</v>
      </c>
      <c r="B269" s="54">
        <v>1769.69</v>
      </c>
      <c r="C269" s="54">
        <v>14634.15</v>
      </c>
      <c r="D269" s="54">
        <f t="shared" si="12"/>
        <v>-1.7425151836994991E-2</v>
      </c>
      <c r="E269" s="54">
        <f t="shared" si="13"/>
        <v>-9.4505975322978809E-3</v>
      </c>
      <c r="F269" s="55">
        <f t="shared" si="14"/>
        <v>2021</v>
      </c>
    </row>
    <row r="270" spans="1:6" x14ac:dyDescent="0.35">
      <c r="A270" s="69">
        <v>44320</v>
      </c>
      <c r="B270" s="54">
        <v>1739.12</v>
      </c>
      <c r="C270" s="54">
        <v>14496.5</v>
      </c>
      <c r="D270" s="54">
        <f t="shared" si="12"/>
        <v>-4.454684056795279E-3</v>
      </c>
      <c r="E270" s="54">
        <f t="shared" si="13"/>
        <v>8.3361437043846104E-3</v>
      </c>
      <c r="F270" s="55">
        <f t="shared" si="14"/>
        <v>2021</v>
      </c>
    </row>
    <row r="271" spans="1:6" x14ac:dyDescent="0.35">
      <c r="A271" s="69">
        <v>44321</v>
      </c>
      <c r="B271" s="54">
        <v>1731.39</v>
      </c>
      <c r="C271" s="54">
        <v>14617.85</v>
      </c>
      <c r="D271" s="54">
        <f t="shared" si="12"/>
        <v>5.503615839115214E-2</v>
      </c>
      <c r="E271" s="54">
        <f t="shared" si="13"/>
        <v>7.2897624185612698E-3</v>
      </c>
      <c r="F271" s="55">
        <f t="shared" si="14"/>
        <v>2021</v>
      </c>
    </row>
    <row r="272" spans="1:6" x14ac:dyDescent="0.35">
      <c r="A272" s="69">
        <v>44322</v>
      </c>
      <c r="B272" s="54">
        <v>1829.35</v>
      </c>
      <c r="C272" s="54">
        <v>14724.8</v>
      </c>
      <c r="D272" s="54">
        <f t="shared" si="12"/>
        <v>1.0932247407656999E-4</v>
      </c>
      <c r="E272" s="54">
        <f t="shared" si="13"/>
        <v>6.6570007870929496E-3</v>
      </c>
      <c r="F272" s="55">
        <f t="shared" si="14"/>
        <v>2021</v>
      </c>
    </row>
    <row r="273" spans="1:6" x14ac:dyDescent="0.35">
      <c r="A273" s="69">
        <v>44323</v>
      </c>
      <c r="B273" s="54">
        <v>1829.55</v>
      </c>
      <c r="C273" s="54">
        <v>14823.15</v>
      </c>
      <c r="D273" s="54">
        <f t="shared" si="12"/>
        <v>-1.2196223964336486E-3</v>
      </c>
      <c r="E273" s="54">
        <f t="shared" si="13"/>
        <v>8.0093152954948815E-3</v>
      </c>
      <c r="F273" s="55">
        <f t="shared" si="14"/>
        <v>2021</v>
      </c>
    </row>
    <row r="274" spans="1:6" x14ac:dyDescent="0.35">
      <c r="A274" s="69">
        <v>44326</v>
      </c>
      <c r="B274" s="54">
        <v>1827.32</v>
      </c>
      <c r="C274" s="54">
        <v>14942.35</v>
      </c>
      <c r="D274" s="54">
        <f t="shared" si="12"/>
        <v>2.5742290849259768E-3</v>
      </c>
      <c r="E274" s="54">
        <f t="shared" si="13"/>
        <v>-6.1490941611665332E-3</v>
      </c>
      <c r="F274" s="55">
        <f t="shared" si="14"/>
        <v>2021</v>
      </c>
    </row>
    <row r="275" spans="1:6" x14ac:dyDescent="0.35">
      <c r="A275" s="69">
        <v>44327</v>
      </c>
      <c r="B275" s="54">
        <v>1832.03</v>
      </c>
      <c r="C275" s="54">
        <v>14850.75</v>
      </c>
      <c r="D275" s="54">
        <f t="shared" si="12"/>
        <v>-2.7060002747911902E-2</v>
      </c>
      <c r="E275" s="54">
        <f t="shared" si="13"/>
        <v>-1.0440998826452301E-2</v>
      </c>
      <c r="F275" s="55">
        <f t="shared" si="14"/>
        <v>2021</v>
      </c>
    </row>
    <row r="276" spans="1:6" x14ac:dyDescent="0.35">
      <c r="A276" s="69">
        <v>44328</v>
      </c>
      <c r="B276" s="54">
        <v>1783.12</v>
      </c>
      <c r="C276" s="54">
        <v>14696.5</v>
      </c>
      <c r="D276" s="54">
        <f t="shared" si="12"/>
        <v>-5.8495487169878905E-3</v>
      </c>
      <c r="E276" s="54">
        <f t="shared" si="13"/>
        <v>-1.2732220019680827E-3</v>
      </c>
      <c r="F276" s="55">
        <f t="shared" si="14"/>
        <v>2021</v>
      </c>
    </row>
    <row r="277" spans="1:6" x14ac:dyDescent="0.35">
      <c r="A277" s="69">
        <v>44330</v>
      </c>
      <c r="B277" s="54">
        <v>1772.72</v>
      </c>
      <c r="C277" s="54">
        <v>14677.8</v>
      </c>
      <c r="D277" s="54">
        <f t="shared" si="12"/>
        <v>-1.4895579213266169E-2</v>
      </c>
      <c r="E277" s="54">
        <f t="shared" si="13"/>
        <v>1.6577550301561973E-2</v>
      </c>
      <c r="F277" s="55">
        <f t="shared" si="14"/>
        <v>2021</v>
      </c>
    </row>
    <row r="278" spans="1:6" x14ac:dyDescent="0.35">
      <c r="A278" s="69">
        <v>44333</v>
      </c>
      <c r="B278" s="54">
        <v>1746.51</v>
      </c>
      <c r="C278" s="54">
        <v>14923.15</v>
      </c>
      <c r="D278" s="54">
        <f t="shared" si="12"/>
        <v>1.556180121472298E-3</v>
      </c>
      <c r="E278" s="54">
        <f t="shared" si="13"/>
        <v>1.2317325341082912E-2</v>
      </c>
      <c r="F278" s="55">
        <f t="shared" si="14"/>
        <v>2021</v>
      </c>
    </row>
    <row r="279" spans="1:6" x14ac:dyDescent="0.35">
      <c r="A279" s="69">
        <v>44334</v>
      </c>
      <c r="B279" s="54">
        <v>1749.23</v>
      </c>
      <c r="C279" s="54">
        <v>15108.1</v>
      </c>
      <c r="D279" s="54">
        <f t="shared" si="12"/>
        <v>1.5537621871560263E-3</v>
      </c>
      <c r="E279" s="54">
        <f t="shared" si="13"/>
        <v>-5.1728400830980811E-3</v>
      </c>
      <c r="F279" s="55">
        <f t="shared" si="14"/>
        <v>2021</v>
      </c>
    </row>
    <row r="280" spans="1:6" x14ac:dyDescent="0.35">
      <c r="A280" s="69">
        <v>44335</v>
      </c>
      <c r="B280" s="54">
        <v>1751.95</v>
      </c>
      <c r="C280" s="54">
        <v>15030.15</v>
      </c>
      <c r="D280" s="54">
        <f t="shared" si="12"/>
        <v>-2.0054914889105538E-3</v>
      </c>
      <c r="E280" s="54">
        <f t="shared" si="13"/>
        <v>-8.2910129471753299E-3</v>
      </c>
      <c r="F280" s="55">
        <f t="shared" si="14"/>
        <v>2021</v>
      </c>
    </row>
    <row r="281" spans="1:6" x14ac:dyDescent="0.35">
      <c r="A281" s="69">
        <v>44336</v>
      </c>
      <c r="B281" s="54">
        <v>1748.44</v>
      </c>
      <c r="C281" s="54">
        <v>14906.05</v>
      </c>
      <c r="D281" s="54">
        <f t="shared" si="12"/>
        <v>1.2221685900828448E-2</v>
      </c>
      <c r="E281" s="54">
        <f t="shared" si="13"/>
        <v>1.7901935299818986E-2</v>
      </c>
      <c r="F281" s="55">
        <f t="shared" si="14"/>
        <v>2021</v>
      </c>
    </row>
    <row r="282" spans="1:6" x14ac:dyDescent="0.35">
      <c r="A282" s="69">
        <v>44337</v>
      </c>
      <c r="B282" s="54">
        <v>1769.94</v>
      </c>
      <c r="C282" s="54">
        <v>15175.3</v>
      </c>
      <c r="D282" s="54">
        <f t="shared" si="12"/>
        <v>2.4285460659327698E-2</v>
      </c>
      <c r="E282" s="54">
        <f t="shared" si="13"/>
        <v>1.4749945057214828E-3</v>
      </c>
      <c r="F282" s="55">
        <f t="shared" si="14"/>
        <v>2021</v>
      </c>
    </row>
    <row r="283" spans="1:6" x14ac:dyDescent="0.35">
      <c r="A283" s="69">
        <v>44340</v>
      </c>
      <c r="B283" s="54">
        <v>1813.45</v>
      </c>
      <c r="C283" s="54">
        <v>15197.7</v>
      </c>
      <c r="D283" s="54">
        <f t="shared" si="12"/>
        <v>2.7193133575541605E-2</v>
      </c>
      <c r="E283" s="54">
        <f t="shared" si="13"/>
        <v>7.0709382463091867E-4</v>
      </c>
      <c r="F283" s="55">
        <f t="shared" si="14"/>
        <v>2021</v>
      </c>
    </row>
    <row r="284" spans="1:6" x14ac:dyDescent="0.35">
      <c r="A284" s="69">
        <v>44341</v>
      </c>
      <c r="B284" s="54">
        <v>1863.44</v>
      </c>
      <c r="C284" s="54">
        <v>15208.45</v>
      </c>
      <c r="D284" s="54">
        <f t="shared" si="12"/>
        <v>1.7738741777084278E-2</v>
      </c>
      <c r="E284" s="54">
        <f t="shared" si="13"/>
        <v>6.0964007117105569E-3</v>
      </c>
      <c r="F284" s="55">
        <f t="shared" si="14"/>
        <v>2021</v>
      </c>
    </row>
    <row r="285" spans="1:6" x14ac:dyDescent="0.35">
      <c r="A285" s="69">
        <v>44342</v>
      </c>
      <c r="B285" s="54">
        <v>1896.79</v>
      </c>
      <c r="C285" s="54">
        <v>15301.45</v>
      </c>
      <c r="D285" s="54">
        <f t="shared" si="12"/>
        <v>2.8173952333164672E-2</v>
      </c>
      <c r="E285" s="54">
        <f t="shared" si="13"/>
        <v>2.3760345128514245E-3</v>
      </c>
      <c r="F285" s="55">
        <f t="shared" si="14"/>
        <v>2021</v>
      </c>
    </row>
    <row r="286" spans="1:6" x14ac:dyDescent="0.35">
      <c r="A286" s="69">
        <v>44343</v>
      </c>
      <c r="B286" s="54">
        <v>1950.99</v>
      </c>
      <c r="C286" s="54">
        <v>15337.85</v>
      </c>
      <c r="D286" s="54">
        <f t="shared" si="12"/>
        <v>-1.672033433143812E-2</v>
      </c>
      <c r="E286" s="54">
        <f t="shared" si="13"/>
        <v>6.3561394878013074E-3</v>
      </c>
      <c r="F286" s="55">
        <f t="shared" si="14"/>
        <v>2021</v>
      </c>
    </row>
    <row r="287" spans="1:6" x14ac:dyDescent="0.35">
      <c r="A287" s="69">
        <v>44344</v>
      </c>
      <c r="B287" s="54">
        <v>1918.64</v>
      </c>
      <c r="C287" s="54">
        <v>15435.65</v>
      </c>
      <c r="D287" s="54">
        <f t="shared" si="12"/>
        <v>4.2491839929403455E-3</v>
      </c>
      <c r="E287" s="54">
        <f t="shared" si="13"/>
        <v>9.4879727316188097E-3</v>
      </c>
      <c r="F287" s="55">
        <f t="shared" si="14"/>
        <v>2021</v>
      </c>
    </row>
    <row r="288" spans="1:6" x14ac:dyDescent="0.35">
      <c r="A288" s="69">
        <v>44347</v>
      </c>
      <c r="B288" s="54">
        <v>1926.81</v>
      </c>
      <c r="C288" s="54">
        <v>15582.8</v>
      </c>
      <c r="D288" s="54">
        <f t="shared" si="12"/>
        <v>2.9021428840380046E-3</v>
      </c>
      <c r="E288" s="54">
        <f t="shared" si="13"/>
        <v>-5.1030807346014347E-4</v>
      </c>
      <c r="F288" s="55">
        <f t="shared" si="14"/>
        <v>2021</v>
      </c>
    </row>
    <row r="289" spans="1:6" x14ac:dyDescent="0.35">
      <c r="A289" s="69">
        <v>44348</v>
      </c>
      <c r="B289" s="54">
        <v>1932.41</v>
      </c>
      <c r="C289" s="54">
        <v>15574.85</v>
      </c>
      <c r="D289" s="54">
        <f t="shared" si="12"/>
        <v>-2.1979481706190244E-2</v>
      </c>
      <c r="E289" s="54">
        <f t="shared" si="13"/>
        <v>8.6674446019981654E-5</v>
      </c>
      <c r="F289" s="55">
        <f t="shared" si="14"/>
        <v>2021</v>
      </c>
    </row>
    <row r="290" spans="1:6" x14ac:dyDescent="0.35">
      <c r="A290" s="69">
        <v>44349</v>
      </c>
      <c r="B290" s="54">
        <v>1890.4</v>
      </c>
      <c r="C290" s="54">
        <v>15576.2</v>
      </c>
      <c r="D290" s="54">
        <f t="shared" si="12"/>
        <v>6.3225435319213298E-3</v>
      </c>
      <c r="E290" s="54">
        <f t="shared" si="13"/>
        <v>7.3017654436381392E-3</v>
      </c>
      <c r="F290" s="55">
        <f t="shared" si="14"/>
        <v>2021</v>
      </c>
    </row>
    <row r="291" spans="1:6" x14ac:dyDescent="0.35">
      <c r="A291" s="69">
        <v>44350</v>
      </c>
      <c r="B291" s="54">
        <v>1902.39</v>
      </c>
      <c r="C291" s="54">
        <v>15690.35</v>
      </c>
      <c r="D291" s="54">
        <f t="shared" si="12"/>
        <v>-5.3549626991291977E-3</v>
      </c>
      <c r="E291" s="54">
        <f t="shared" si="13"/>
        <v>-1.2818634051846062E-3</v>
      </c>
      <c r="F291" s="55">
        <f t="shared" si="14"/>
        <v>2021</v>
      </c>
    </row>
    <row r="292" spans="1:6" x14ac:dyDescent="0.35">
      <c r="A292" s="69">
        <v>44351</v>
      </c>
      <c r="B292" s="54">
        <v>1892.23</v>
      </c>
      <c r="C292" s="54">
        <v>15670.25</v>
      </c>
      <c r="D292" s="54">
        <f t="shared" si="12"/>
        <v>2.8626144316437067E-2</v>
      </c>
      <c r="E292" s="54">
        <f t="shared" si="13"/>
        <v>5.1811113962645268E-3</v>
      </c>
      <c r="F292" s="55">
        <f t="shared" si="14"/>
        <v>2021</v>
      </c>
    </row>
    <row r="293" spans="1:6" x14ac:dyDescent="0.35">
      <c r="A293" s="69">
        <v>44354</v>
      </c>
      <c r="B293" s="54">
        <v>1947.18</v>
      </c>
      <c r="C293" s="54">
        <v>15751.65</v>
      </c>
      <c r="D293" s="54">
        <f t="shared" si="12"/>
        <v>-1.6627996550440671E-2</v>
      </c>
      <c r="E293" s="54">
        <f t="shared" si="13"/>
        <v>-7.3352548003090691E-4</v>
      </c>
      <c r="F293" s="55">
        <f t="shared" si="14"/>
        <v>2021</v>
      </c>
    </row>
    <row r="294" spans="1:6" x14ac:dyDescent="0.35">
      <c r="A294" s="69">
        <v>44355</v>
      </c>
      <c r="B294" s="54">
        <v>1915.07</v>
      </c>
      <c r="C294" s="54">
        <v>15740.1</v>
      </c>
      <c r="D294" s="54">
        <f t="shared" si="12"/>
        <v>-7.4004142753037842E-3</v>
      </c>
      <c r="E294" s="54">
        <f t="shared" si="13"/>
        <v>-6.6772198768095935E-3</v>
      </c>
      <c r="F294" s="55">
        <f t="shared" si="14"/>
        <v>2021</v>
      </c>
    </row>
    <row r="295" spans="1:6" x14ac:dyDescent="0.35">
      <c r="A295" s="69">
        <v>44356</v>
      </c>
      <c r="B295" s="54">
        <v>1900.95</v>
      </c>
      <c r="C295" s="54">
        <v>15635.35</v>
      </c>
      <c r="D295" s="54">
        <f t="shared" si="12"/>
        <v>2.3668851949241791E-2</v>
      </c>
      <c r="E295" s="54">
        <f t="shared" si="13"/>
        <v>6.5279085353827145E-3</v>
      </c>
      <c r="F295" s="55">
        <f t="shared" si="14"/>
        <v>2021</v>
      </c>
    </row>
    <row r="296" spans="1:6" x14ac:dyDescent="0.35">
      <c r="A296" s="69">
        <v>44357</v>
      </c>
      <c r="B296" s="54">
        <v>1946.48</v>
      </c>
      <c r="C296" s="54">
        <v>15737.75</v>
      </c>
      <c r="D296" s="54">
        <f t="shared" si="12"/>
        <v>2.2925764749324524E-2</v>
      </c>
      <c r="E296" s="54">
        <f t="shared" si="13"/>
        <v>3.9065150783718612E-3</v>
      </c>
      <c r="F296" s="55">
        <f t="shared" si="14"/>
        <v>2021</v>
      </c>
    </row>
    <row r="297" spans="1:6" x14ac:dyDescent="0.35">
      <c r="A297" s="69">
        <v>44358</v>
      </c>
      <c r="B297" s="54">
        <v>1991.62</v>
      </c>
      <c r="C297" s="54">
        <v>15799.35</v>
      </c>
      <c r="D297" s="54">
        <f t="shared" si="12"/>
        <v>-7.4892371478579838E-3</v>
      </c>
      <c r="E297" s="54">
        <f t="shared" si="13"/>
        <v>7.9085897729400882E-4</v>
      </c>
      <c r="F297" s="55">
        <f t="shared" si="14"/>
        <v>2021</v>
      </c>
    </row>
    <row r="298" spans="1:6" x14ac:dyDescent="0.35">
      <c r="A298" s="69">
        <v>44361</v>
      </c>
      <c r="B298" s="54">
        <v>1976.76</v>
      </c>
      <c r="C298" s="54">
        <v>15811.85</v>
      </c>
      <c r="D298" s="54">
        <f t="shared" si="12"/>
        <v>3.2891646046214626E-2</v>
      </c>
      <c r="E298" s="54">
        <f t="shared" si="13"/>
        <v>3.6236155189037843E-3</v>
      </c>
      <c r="F298" s="55">
        <f t="shared" si="14"/>
        <v>2021</v>
      </c>
    </row>
    <row r="299" spans="1:6" x14ac:dyDescent="0.35">
      <c r="A299" s="69">
        <v>44362</v>
      </c>
      <c r="B299" s="54">
        <v>2042.86</v>
      </c>
      <c r="C299" s="54">
        <v>15869.25</v>
      </c>
      <c r="D299" s="54">
        <f t="shared" si="12"/>
        <v>1.7930564696050772E-2</v>
      </c>
      <c r="E299" s="54">
        <f t="shared" si="13"/>
        <v>-6.4292438119768949E-3</v>
      </c>
      <c r="F299" s="55">
        <f t="shared" si="14"/>
        <v>2021</v>
      </c>
    </row>
    <row r="300" spans="1:6" x14ac:dyDescent="0.35">
      <c r="A300" s="69">
        <v>44363</v>
      </c>
      <c r="B300" s="54">
        <v>2079.8200000000002</v>
      </c>
      <c r="C300" s="54">
        <v>15767.55</v>
      </c>
      <c r="D300" s="54">
        <f t="shared" si="12"/>
        <v>-2.8609747490861634E-2</v>
      </c>
      <c r="E300" s="54">
        <f t="shared" si="13"/>
        <v>-4.8412390579480827E-3</v>
      </c>
      <c r="F300" s="55">
        <f t="shared" si="14"/>
        <v>2021</v>
      </c>
    </row>
    <row r="301" spans="1:6" x14ac:dyDescent="0.35">
      <c r="A301" s="69">
        <v>44364</v>
      </c>
      <c r="B301" s="54">
        <v>2021.16</v>
      </c>
      <c r="C301" s="54">
        <v>15691.4</v>
      </c>
      <c r="D301" s="54">
        <f t="shared" si="12"/>
        <v>-3.290650394333888E-3</v>
      </c>
      <c r="E301" s="54">
        <f t="shared" si="13"/>
        <v>-5.1315151047548523E-4</v>
      </c>
      <c r="F301" s="55">
        <f t="shared" si="14"/>
        <v>2021</v>
      </c>
    </row>
    <row r="302" spans="1:6" x14ac:dyDescent="0.35">
      <c r="A302" s="69">
        <v>44365</v>
      </c>
      <c r="B302" s="54">
        <v>2014.52</v>
      </c>
      <c r="C302" s="54">
        <v>15683.35</v>
      </c>
      <c r="D302" s="54">
        <f t="shared" si="12"/>
        <v>7.0586026047159082E-3</v>
      </c>
      <c r="E302" s="54">
        <f t="shared" si="13"/>
        <v>4.0184782924328364E-3</v>
      </c>
      <c r="F302" s="55">
        <f t="shared" si="14"/>
        <v>2021</v>
      </c>
    </row>
    <row r="303" spans="1:6" x14ac:dyDescent="0.35">
      <c r="A303" s="69">
        <v>44368</v>
      </c>
      <c r="B303" s="54">
        <v>2028.79</v>
      </c>
      <c r="C303" s="54">
        <v>15746.5</v>
      </c>
      <c r="D303" s="54">
        <f t="shared" si="12"/>
        <v>-1.8913034487319378E-2</v>
      </c>
      <c r="E303" s="54">
        <f t="shared" si="13"/>
        <v>1.6656491552922152E-3</v>
      </c>
      <c r="F303" s="55">
        <f t="shared" si="14"/>
        <v>2021</v>
      </c>
    </row>
    <row r="304" spans="1:6" x14ac:dyDescent="0.35">
      <c r="A304" s="69">
        <v>44369</v>
      </c>
      <c r="B304" s="54">
        <v>1990.78</v>
      </c>
      <c r="C304" s="54">
        <v>15772.75</v>
      </c>
      <c r="D304" s="54">
        <f t="shared" si="12"/>
        <v>-1.1813647642700148E-2</v>
      </c>
      <c r="E304" s="54">
        <f t="shared" si="13"/>
        <v>-5.4546109932566283E-3</v>
      </c>
      <c r="F304" s="55">
        <f t="shared" si="14"/>
        <v>2021</v>
      </c>
    </row>
    <row r="305" spans="1:6" x14ac:dyDescent="0.35">
      <c r="A305" s="69">
        <v>44370</v>
      </c>
      <c r="B305" s="54">
        <v>1967.4</v>
      </c>
      <c r="C305" s="54">
        <v>15686.95</v>
      </c>
      <c r="D305" s="54">
        <f t="shared" si="12"/>
        <v>3.1628291045584518E-2</v>
      </c>
      <c r="E305" s="54">
        <f t="shared" si="13"/>
        <v>6.5761703950533955E-3</v>
      </c>
      <c r="F305" s="55">
        <f t="shared" si="14"/>
        <v>2021</v>
      </c>
    </row>
    <row r="306" spans="1:6" x14ac:dyDescent="0.35">
      <c r="A306" s="69">
        <v>44371</v>
      </c>
      <c r="B306" s="54">
        <v>2030.62</v>
      </c>
      <c r="C306" s="54">
        <v>15790.45</v>
      </c>
      <c r="D306" s="54">
        <f t="shared" si="12"/>
        <v>8.7715344714668075E-3</v>
      </c>
      <c r="E306" s="54">
        <f t="shared" si="13"/>
        <v>4.4169571475514277E-3</v>
      </c>
      <c r="F306" s="55">
        <f t="shared" si="14"/>
        <v>2021</v>
      </c>
    </row>
    <row r="307" spans="1:6" x14ac:dyDescent="0.35">
      <c r="A307" s="69">
        <v>44372</v>
      </c>
      <c r="B307" s="54">
        <v>2048.5100000000002</v>
      </c>
      <c r="C307" s="54">
        <v>15860.35</v>
      </c>
      <c r="D307" s="54">
        <f t="shared" si="12"/>
        <v>-8.6238072544280297E-3</v>
      </c>
      <c r="E307" s="54">
        <f t="shared" si="13"/>
        <v>-2.8823968142633397E-3</v>
      </c>
      <c r="F307" s="55">
        <f t="shared" si="14"/>
        <v>2021</v>
      </c>
    </row>
    <row r="308" spans="1:6" x14ac:dyDescent="0.35">
      <c r="A308" s="69">
        <v>44375</v>
      </c>
      <c r="B308" s="54">
        <v>2030.92</v>
      </c>
      <c r="C308" s="54">
        <v>15814.7</v>
      </c>
      <c r="D308" s="54">
        <f t="shared" si="12"/>
        <v>1.7769027266601595E-2</v>
      </c>
      <c r="E308" s="54">
        <f t="shared" si="13"/>
        <v>-4.197939514398237E-3</v>
      </c>
      <c r="F308" s="55">
        <f t="shared" si="14"/>
        <v>2021</v>
      </c>
    </row>
    <row r="309" spans="1:6" x14ac:dyDescent="0.35">
      <c r="A309" s="69">
        <v>44376</v>
      </c>
      <c r="B309" s="54">
        <v>2067.33</v>
      </c>
      <c r="C309" s="54">
        <v>15748.45</v>
      </c>
      <c r="D309" s="54">
        <f t="shared" si="12"/>
        <v>2.2773251931112383E-2</v>
      </c>
      <c r="E309" s="54">
        <f t="shared" si="13"/>
        <v>-1.7127454341774183E-3</v>
      </c>
      <c r="F309" s="55">
        <f t="shared" si="14"/>
        <v>2021</v>
      </c>
    </row>
    <row r="310" spans="1:6" x14ac:dyDescent="0.35">
      <c r="A310" s="69">
        <v>44377</v>
      </c>
      <c r="B310" s="54">
        <v>2114.9499999999998</v>
      </c>
      <c r="C310" s="54">
        <v>15721.5</v>
      </c>
      <c r="D310" s="54">
        <f t="shared" si="12"/>
        <v>1.746404962482883E-2</v>
      </c>
      <c r="E310" s="54">
        <f t="shared" si="13"/>
        <v>-2.6431873739428875E-3</v>
      </c>
      <c r="F310" s="55">
        <f t="shared" si="14"/>
        <v>2021</v>
      </c>
    </row>
    <row r="311" spans="1:6" x14ac:dyDescent="0.35">
      <c r="A311" s="69">
        <v>44378</v>
      </c>
      <c r="B311" s="54">
        <v>2152.21</v>
      </c>
      <c r="C311" s="54">
        <v>15680</v>
      </c>
      <c r="D311" s="54">
        <f t="shared" si="12"/>
        <v>-7.7897271491783916E-3</v>
      </c>
      <c r="E311" s="54">
        <f t="shared" si="13"/>
        <v>2.6877113962504966E-3</v>
      </c>
      <c r="F311" s="55">
        <f t="shared" si="14"/>
        <v>2021</v>
      </c>
    </row>
    <row r="312" spans="1:6" x14ac:dyDescent="0.35">
      <c r="A312" s="69">
        <v>44379</v>
      </c>
      <c r="B312" s="54">
        <v>2135.5100000000002</v>
      </c>
      <c r="C312" s="54">
        <v>15722.2</v>
      </c>
      <c r="D312" s="54">
        <f t="shared" si="12"/>
        <v>-1.9089890077617688E-2</v>
      </c>
      <c r="E312" s="54">
        <f t="shared" si="13"/>
        <v>7.1079045188818853E-3</v>
      </c>
      <c r="F312" s="55">
        <f t="shared" si="14"/>
        <v>2021</v>
      </c>
    </row>
    <row r="313" spans="1:6" x14ac:dyDescent="0.35">
      <c r="A313" s="69">
        <v>44382</v>
      </c>
      <c r="B313" s="54">
        <v>2095.13</v>
      </c>
      <c r="C313" s="54">
        <v>15834.35</v>
      </c>
      <c r="D313" s="54">
        <f t="shared" si="12"/>
        <v>1.5049916583471708E-2</v>
      </c>
      <c r="E313" s="54">
        <f t="shared" si="13"/>
        <v>-1.0172940856974727E-3</v>
      </c>
      <c r="F313" s="55">
        <f t="shared" si="14"/>
        <v>2021</v>
      </c>
    </row>
    <row r="314" spans="1:6" x14ac:dyDescent="0.35">
      <c r="A314" s="69">
        <v>44383</v>
      </c>
      <c r="B314" s="54">
        <v>2126.9</v>
      </c>
      <c r="C314" s="54">
        <v>15818.25</v>
      </c>
      <c r="D314" s="54">
        <f t="shared" si="12"/>
        <v>1.2702840052765618E-2</v>
      </c>
      <c r="E314" s="54">
        <f t="shared" si="13"/>
        <v>3.8740785221350028E-3</v>
      </c>
      <c r="F314" s="55">
        <f t="shared" si="14"/>
        <v>2021</v>
      </c>
    </row>
    <row r="315" spans="1:6" x14ac:dyDescent="0.35">
      <c r="A315" s="69">
        <v>44384</v>
      </c>
      <c r="B315" s="54">
        <v>2154.09</v>
      </c>
      <c r="C315" s="54">
        <v>15879.65</v>
      </c>
      <c r="D315" s="54">
        <f t="shared" si="12"/>
        <v>1.243371552436039E-3</v>
      </c>
      <c r="E315" s="54">
        <f t="shared" si="13"/>
        <v>-9.6022099767209546E-3</v>
      </c>
      <c r="F315" s="55">
        <f t="shared" si="14"/>
        <v>2021</v>
      </c>
    </row>
    <row r="316" spans="1:6" x14ac:dyDescent="0.35">
      <c r="A316" s="69">
        <v>44385</v>
      </c>
      <c r="B316" s="54">
        <v>2156.77</v>
      </c>
      <c r="C316" s="54">
        <v>15727.9</v>
      </c>
      <c r="D316" s="54">
        <f t="shared" si="12"/>
        <v>2.4014200365647692E-2</v>
      </c>
      <c r="E316" s="54">
        <f t="shared" si="13"/>
        <v>-2.4253856060068731E-3</v>
      </c>
      <c r="F316" s="55">
        <f t="shared" si="14"/>
        <v>2021</v>
      </c>
    </row>
    <row r="317" spans="1:6" x14ac:dyDescent="0.35">
      <c r="A317" s="69">
        <v>44386</v>
      </c>
      <c r="B317" s="54">
        <v>2209.19</v>
      </c>
      <c r="C317" s="54">
        <v>15689.8</v>
      </c>
      <c r="D317" s="54">
        <f t="shared" si="12"/>
        <v>-6.3892177725384126E-3</v>
      </c>
      <c r="E317" s="54">
        <f t="shared" si="13"/>
        <v>1.7844396906752612E-4</v>
      </c>
      <c r="F317" s="55">
        <f t="shared" si="14"/>
        <v>2021</v>
      </c>
    </row>
    <row r="318" spans="1:6" x14ac:dyDescent="0.35">
      <c r="A318" s="69">
        <v>44389</v>
      </c>
      <c r="B318" s="54">
        <v>2195.12</v>
      </c>
      <c r="C318" s="54">
        <v>15692.6</v>
      </c>
      <c r="D318" s="54">
        <f t="shared" si="12"/>
        <v>-1.0961310396785575E-2</v>
      </c>
      <c r="E318" s="54">
        <f t="shared" si="13"/>
        <v>7.6020166165659082E-3</v>
      </c>
      <c r="F318" s="55">
        <f t="shared" si="14"/>
        <v>2021</v>
      </c>
    </row>
    <row r="319" spans="1:6" x14ac:dyDescent="0.35">
      <c r="A319" s="69">
        <v>44390</v>
      </c>
      <c r="B319" s="54">
        <v>2171.19</v>
      </c>
      <c r="C319" s="54">
        <v>15812.35</v>
      </c>
      <c r="D319" s="54">
        <f t="shared" si="12"/>
        <v>8.0870340674594435E-2</v>
      </c>
      <c r="E319" s="54">
        <f t="shared" si="13"/>
        <v>2.6274003550276126E-3</v>
      </c>
      <c r="F319" s="55">
        <f t="shared" si="14"/>
        <v>2021</v>
      </c>
    </row>
    <row r="320" spans="1:6" x14ac:dyDescent="0.35">
      <c r="A320" s="69">
        <v>44391</v>
      </c>
      <c r="B320" s="54">
        <v>2354.0700000000002</v>
      </c>
      <c r="C320" s="54">
        <v>15853.95</v>
      </c>
      <c r="D320" s="54">
        <f t="shared" si="12"/>
        <v>5.667681516416315E-3</v>
      </c>
      <c r="E320" s="54">
        <f t="shared" si="13"/>
        <v>4.4212840858116617E-3</v>
      </c>
      <c r="F320" s="55">
        <f t="shared" si="14"/>
        <v>2021</v>
      </c>
    </row>
    <row r="321" spans="1:6" x14ac:dyDescent="0.35">
      <c r="A321" s="69">
        <v>44392</v>
      </c>
      <c r="B321" s="54">
        <v>2367.4499999999998</v>
      </c>
      <c r="C321" s="54">
        <v>15924.2</v>
      </c>
      <c r="D321" s="54">
        <f t="shared" si="12"/>
        <v>5.025242447009011E-4</v>
      </c>
      <c r="E321" s="54">
        <f t="shared" si="13"/>
        <v>-5.0239264507832973E-5</v>
      </c>
      <c r="F321" s="55">
        <f t="shared" si="14"/>
        <v>2021</v>
      </c>
    </row>
    <row r="322" spans="1:6" x14ac:dyDescent="0.35">
      <c r="A322" s="69">
        <v>44393</v>
      </c>
      <c r="B322" s="54">
        <v>2368.64</v>
      </c>
      <c r="C322" s="54">
        <v>15923.4</v>
      </c>
      <c r="D322" s="54">
        <f t="shared" ref="D322:D385" si="15">LN(B323/B322)</f>
        <v>-2.0029196462791204E-2</v>
      </c>
      <c r="E322" s="54">
        <f t="shared" ref="E322:E385" si="16">LN(C323/C322)</f>
        <v>-1.0796990837843464E-2</v>
      </c>
      <c r="F322" s="55">
        <f t="shared" ref="F322:F385" si="17">YEAR(A322)</f>
        <v>2021</v>
      </c>
    </row>
    <row r="323" spans="1:6" x14ac:dyDescent="0.35">
      <c r="A323" s="69">
        <v>44396</v>
      </c>
      <c r="B323" s="54">
        <v>2321.67</v>
      </c>
      <c r="C323" s="54">
        <v>15752.4</v>
      </c>
      <c r="D323" s="54">
        <f t="shared" si="15"/>
        <v>1.0910811394860918E-2</v>
      </c>
      <c r="E323" s="54">
        <f t="shared" si="16"/>
        <v>-7.6662422011756432E-3</v>
      </c>
      <c r="F323" s="55">
        <f t="shared" si="17"/>
        <v>2021</v>
      </c>
    </row>
    <row r="324" spans="1:6" x14ac:dyDescent="0.35">
      <c r="A324" s="69">
        <v>44397</v>
      </c>
      <c r="B324" s="54">
        <v>2347.14</v>
      </c>
      <c r="C324" s="54">
        <v>15632.1</v>
      </c>
      <c r="D324" s="54">
        <f t="shared" si="15"/>
        <v>1.2128238913178336E-2</v>
      </c>
      <c r="E324" s="54">
        <f t="shared" si="16"/>
        <v>1.2204442218645537E-2</v>
      </c>
      <c r="F324" s="55">
        <f t="shared" si="17"/>
        <v>2021</v>
      </c>
    </row>
    <row r="325" spans="1:6" x14ac:dyDescent="0.35">
      <c r="A325" s="69">
        <v>44399</v>
      </c>
      <c r="B325" s="54">
        <v>2375.7800000000002</v>
      </c>
      <c r="C325" s="54">
        <v>15824.05</v>
      </c>
      <c r="D325" s="54">
        <f t="shared" si="15"/>
        <v>5.3892637324642709E-2</v>
      </c>
      <c r="E325" s="54">
        <f t="shared" si="16"/>
        <v>2.020196330389148E-3</v>
      </c>
      <c r="F325" s="55">
        <f t="shared" si="17"/>
        <v>2021</v>
      </c>
    </row>
    <row r="326" spans="1:6" x14ac:dyDescent="0.35">
      <c r="A326" s="69">
        <v>44400</v>
      </c>
      <c r="B326" s="54">
        <v>2507.33</v>
      </c>
      <c r="C326" s="54">
        <v>15856.05</v>
      </c>
      <c r="D326" s="54">
        <f t="shared" si="15"/>
        <v>2.3051878887612984E-2</v>
      </c>
      <c r="E326" s="54">
        <f t="shared" si="16"/>
        <v>-1.9949186710989724E-3</v>
      </c>
      <c r="F326" s="55">
        <f t="shared" si="17"/>
        <v>2021</v>
      </c>
    </row>
    <row r="327" spans="1:6" x14ac:dyDescent="0.35">
      <c r="A327" s="69">
        <v>44403</v>
      </c>
      <c r="B327" s="54">
        <v>2565.8000000000002</v>
      </c>
      <c r="C327" s="54">
        <v>15824.45</v>
      </c>
      <c r="D327" s="54">
        <f t="shared" si="15"/>
        <v>2.8721672679583093E-3</v>
      </c>
      <c r="E327" s="54">
        <f t="shared" si="16"/>
        <v>-4.941269251421819E-3</v>
      </c>
      <c r="F327" s="55">
        <f t="shared" si="17"/>
        <v>2021</v>
      </c>
    </row>
    <row r="328" spans="1:6" x14ac:dyDescent="0.35">
      <c r="A328" s="69">
        <v>44404</v>
      </c>
      <c r="B328" s="54">
        <v>2573.1799999999998</v>
      </c>
      <c r="C328" s="54">
        <v>15746.45</v>
      </c>
      <c r="D328" s="54">
        <f t="shared" si="15"/>
        <v>-3.4335532823587863E-3</v>
      </c>
      <c r="E328" s="54">
        <f t="shared" si="16"/>
        <v>-2.3556837366210791E-3</v>
      </c>
      <c r="F328" s="55">
        <f t="shared" si="17"/>
        <v>2021</v>
      </c>
    </row>
    <row r="329" spans="1:6" x14ac:dyDescent="0.35">
      <c r="A329" s="69">
        <v>44405</v>
      </c>
      <c r="B329" s="54">
        <v>2564.36</v>
      </c>
      <c r="C329" s="54">
        <v>15709.4</v>
      </c>
      <c r="D329" s="54">
        <f t="shared" si="15"/>
        <v>3.1158708522330283E-2</v>
      </c>
      <c r="E329" s="54">
        <f t="shared" si="16"/>
        <v>4.3858256873079192E-3</v>
      </c>
      <c r="F329" s="55">
        <f t="shared" si="17"/>
        <v>2021</v>
      </c>
    </row>
    <row r="330" spans="1:6" x14ac:dyDescent="0.35">
      <c r="A330" s="69">
        <v>44406</v>
      </c>
      <c r="B330" s="54">
        <v>2645.52</v>
      </c>
      <c r="C330" s="54">
        <v>15778.45</v>
      </c>
      <c r="D330" s="54">
        <f t="shared" si="15"/>
        <v>-2.6513382252492178E-2</v>
      </c>
      <c r="E330" s="54">
        <f t="shared" si="16"/>
        <v>-9.7649136684721917E-4</v>
      </c>
      <c r="F330" s="55">
        <f t="shared" si="17"/>
        <v>2021</v>
      </c>
    </row>
    <row r="331" spans="1:6" x14ac:dyDescent="0.35">
      <c r="A331" s="69">
        <v>44407</v>
      </c>
      <c r="B331" s="54">
        <v>2576.3000000000002</v>
      </c>
      <c r="C331" s="54">
        <v>15763.05</v>
      </c>
      <c r="D331" s="54">
        <f t="shared" si="15"/>
        <v>1.0352622963005797E-2</v>
      </c>
      <c r="E331" s="54">
        <f t="shared" si="16"/>
        <v>7.716116923125624E-3</v>
      </c>
      <c r="F331" s="55">
        <f t="shared" si="17"/>
        <v>2021</v>
      </c>
    </row>
    <row r="332" spans="1:6" x14ac:dyDescent="0.35">
      <c r="A332" s="69">
        <v>44410</v>
      </c>
      <c r="B332" s="54">
        <v>2603.11</v>
      </c>
      <c r="C332" s="54">
        <v>15885.15</v>
      </c>
      <c r="D332" s="54">
        <f t="shared" si="15"/>
        <v>2.4610999560801216E-2</v>
      </c>
      <c r="E332" s="54">
        <f t="shared" si="16"/>
        <v>1.5342677718794513E-2</v>
      </c>
      <c r="F332" s="55">
        <f t="shared" si="17"/>
        <v>2021</v>
      </c>
    </row>
    <row r="333" spans="1:6" x14ac:dyDescent="0.35">
      <c r="A333" s="69">
        <v>44411</v>
      </c>
      <c r="B333" s="54">
        <v>2667.97</v>
      </c>
      <c r="C333" s="54">
        <v>16130.75</v>
      </c>
      <c r="D333" s="54">
        <f t="shared" si="15"/>
        <v>-1.5829791816577335E-3</v>
      </c>
      <c r="E333" s="54">
        <f t="shared" si="16"/>
        <v>7.9069123919256155E-3</v>
      </c>
      <c r="F333" s="55">
        <f t="shared" si="17"/>
        <v>2021</v>
      </c>
    </row>
    <row r="334" spans="1:6" x14ac:dyDescent="0.35">
      <c r="A334" s="69">
        <v>44412</v>
      </c>
      <c r="B334" s="54">
        <v>2663.75</v>
      </c>
      <c r="C334" s="54">
        <v>16258.8</v>
      </c>
      <c r="D334" s="54">
        <f t="shared" si="15"/>
        <v>-8.5166898383200029E-3</v>
      </c>
      <c r="E334" s="54">
        <f t="shared" si="16"/>
        <v>2.1994639228035033E-3</v>
      </c>
      <c r="F334" s="55">
        <f t="shared" si="17"/>
        <v>2021</v>
      </c>
    </row>
    <row r="335" spans="1:6" x14ac:dyDescent="0.35">
      <c r="A335" s="69">
        <v>44413</v>
      </c>
      <c r="B335" s="54">
        <v>2641.16</v>
      </c>
      <c r="C335" s="54">
        <v>16294.6</v>
      </c>
      <c r="D335" s="54">
        <f t="shared" si="15"/>
        <v>1.0991335371072677E-2</v>
      </c>
      <c r="E335" s="54">
        <f t="shared" si="16"/>
        <v>-3.4672734288667254E-3</v>
      </c>
      <c r="F335" s="55">
        <f t="shared" si="17"/>
        <v>2021</v>
      </c>
    </row>
    <row r="336" spans="1:6" x14ac:dyDescent="0.35">
      <c r="A336" s="69">
        <v>44414</v>
      </c>
      <c r="B336" s="54">
        <v>2670.35</v>
      </c>
      <c r="C336" s="54">
        <v>16238.2</v>
      </c>
      <c r="D336" s="54">
        <f t="shared" si="15"/>
        <v>2.7225249521124826E-3</v>
      </c>
      <c r="E336" s="54">
        <f t="shared" si="16"/>
        <v>1.233981099116492E-3</v>
      </c>
      <c r="F336" s="55">
        <f t="shared" si="17"/>
        <v>2021</v>
      </c>
    </row>
    <row r="337" spans="1:6" x14ac:dyDescent="0.35">
      <c r="A337" s="69">
        <v>44417</v>
      </c>
      <c r="B337" s="54">
        <v>2677.63</v>
      </c>
      <c r="C337" s="54">
        <v>16258.25</v>
      </c>
      <c r="D337" s="54">
        <f t="shared" si="15"/>
        <v>2.4394804891380798E-3</v>
      </c>
      <c r="E337" s="54">
        <f t="shared" si="16"/>
        <v>1.343030810369638E-3</v>
      </c>
      <c r="F337" s="55">
        <f t="shared" si="17"/>
        <v>2021</v>
      </c>
    </row>
    <row r="338" spans="1:6" x14ac:dyDescent="0.35">
      <c r="A338" s="69">
        <v>44418</v>
      </c>
      <c r="B338" s="54">
        <v>2684.17</v>
      </c>
      <c r="C338" s="54">
        <v>16280.1</v>
      </c>
      <c r="D338" s="54">
        <f t="shared" si="15"/>
        <v>-1.3230871080764234E-2</v>
      </c>
      <c r="E338" s="54">
        <f t="shared" si="16"/>
        <v>1.3205435130599847E-4</v>
      </c>
      <c r="F338" s="55">
        <f t="shared" si="17"/>
        <v>2021</v>
      </c>
    </row>
    <row r="339" spans="1:6" x14ac:dyDescent="0.35">
      <c r="A339" s="69">
        <v>44419</v>
      </c>
      <c r="B339" s="54">
        <v>2648.89</v>
      </c>
      <c r="C339" s="54">
        <v>16282.25</v>
      </c>
      <c r="D339" s="54">
        <f t="shared" si="15"/>
        <v>3.3642038248054895E-2</v>
      </c>
      <c r="E339" s="54">
        <f t="shared" si="16"/>
        <v>5.0326862566738252E-3</v>
      </c>
      <c r="F339" s="55">
        <f t="shared" si="17"/>
        <v>2021</v>
      </c>
    </row>
    <row r="340" spans="1:6" x14ac:dyDescent="0.35">
      <c r="A340" s="69">
        <v>44420</v>
      </c>
      <c r="B340" s="54">
        <v>2739.52</v>
      </c>
      <c r="C340" s="54">
        <v>16364.4</v>
      </c>
      <c r="D340" s="54">
        <f t="shared" si="15"/>
        <v>-3.8438165065817205E-3</v>
      </c>
      <c r="E340" s="54">
        <f t="shared" si="16"/>
        <v>1.0014220220038851E-2</v>
      </c>
      <c r="F340" s="55">
        <f t="shared" si="17"/>
        <v>2021</v>
      </c>
    </row>
    <row r="341" spans="1:6" x14ac:dyDescent="0.35">
      <c r="A341" s="69">
        <v>44421</v>
      </c>
      <c r="B341" s="54">
        <v>2729.01</v>
      </c>
      <c r="C341" s="54">
        <v>16529.099999999999</v>
      </c>
      <c r="D341" s="54">
        <f t="shared" si="15"/>
        <v>-2.6895693641119729E-3</v>
      </c>
      <c r="E341" s="54">
        <f t="shared" si="16"/>
        <v>2.0518468525620097E-3</v>
      </c>
      <c r="F341" s="55">
        <f t="shared" si="17"/>
        <v>2021</v>
      </c>
    </row>
    <row r="342" spans="1:6" x14ac:dyDescent="0.35">
      <c r="A342" s="69">
        <v>44424</v>
      </c>
      <c r="B342" s="54">
        <v>2721.68</v>
      </c>
      <c r="C342" s="54">
        <v>16563.05</v>
      </c>
      <c r="D342" s="54">
        <f t="shared" si="15"/>
        <v>3.4039692100051026E-2</v>
      </c>
      <c r="E342" s="54">
        <f t="shared" si="16"/>
        <v>3.107516143149264E-3</v>
      </c>
      <c r="F342" s="55">
        <f t="shared" si="17"/>
        <v>2021</v>
      </c>
    </row>
    <row r="343" spans="1:6" x14ac:dyDescent="0.35">
      <c r="A343" s="69">
        <v>44425</v>
      </c>
      <c r="B343" s="54">
        <v>2815.92</v>
      </c>
      <c r="C343" s="54">
        <v>16614.599999999999</v>
      </c>
      <c r="D343" s="54">
        <f t="shared" si="15"/>
        <v>9.5127897393265659E-4</v>
      </c>
      <c r="E343" s="54">
        <f t="shared" si="16"/>
        <v>-2.7574003900989229E-3</v>
      </c>
      <c r="F343" s="55">
        <f t="shared" si="17"/>
        <v>2021</v>
      </c>
    </row>
    <row r="344" spans="1:6" x14ac:dyDescent="0.35">
      <c r="A344" s="69">
        <v>44426</v>
      </c>
      <c r="B344" s="54">
        <v>2818.6</v>
      </c>
      <c r="C344" s="54">
        <v>16568.849999999999</v>
      </c>
      <c r="D344" s="54">
        <f t="shared" si="15"/>
        <v>1.3153907915342264E-3</v>
      </c>
      <c r="E344" s="54">
        <f t="shared" si="16"/>
        <v>-7.1685546090666519E-3</v>
      </c>
      <c r="F344" s="55">
        <f t="shared" si="17"/>
        <v>2021</v>
      </c>
    </row>
    <row r="345" spans="1:6" x14ac:dyDescent="0.35">
      <c r="A345" s="69">
        <v>44428</v>
      </c>
      <c r="B345" s="54">
        <v>2822.31</v>
      </c>
      <c r="C345" s="54">
        <v>16450.5</v>
      </c>
      <c r="D345" s="54">
        <f t="shared" si="15"/>
        <v>6.6144837555815825E-3</v>
      </c>
      <c r="E345" s="54">
        <f t="shared" si="16"/>
        <v>2.7893343567396453E-3</v>
      </c>
      <c r="F345" s="55">
        <f t="shared" si="17"/>
        <v>2021</v>
      </c>
    </row>
    <row r="346" spans="1:6" x14ac:dyDescent="0.35">
      <c r="A346" s="69">
        <v>44431</v>
      </c>
      <c r="B346" s="54">
        <v>2841.04</v>
      </c>
      <c r="C346" s="54">
        <v>16496.45</v>
      </c>
      <c r="D346" s="54">
        <f t="shared" si="15"/>
        <v>-2.3951961082291633E-2</v>
      </c>
      <c r="E346" s="54">
        <f t="shared" si="16"/>
        <v>7.7383198591159386E-3</v>
      </c>
      <c r="F346" s="55">
        <f t="shared" si="17"/>
        <v>2021</v>
      </c>
    </row>
    <row r="347" spans="1:6" x14ac:dyDescent="0.35">
      <c r="A347" s="69">
        <v>44432</v>
      </c>
      <c r="B347" s="54">
        <v>2773.8</v>
      </c>
      <c r="C347" s="54">
        <v>16624.599999999999</v>
      </c>
      <c r="D347" s="54">
        <f t="shared" si="15"/>
        <v>-2.4653625613054266E-3</v>
      </c>
      <c r="E347" s="54">
        <f t="shared" si="16"/>
        <v>6.0434317105073718E-4</v>
      </c>
      <c r="F347" s="55">
        <f t="shared" si="17"/>
        <v>2021</v>
      </c>
    </row>
    <row r="348" spans="1:6" x14ac:dyDescent="0.35">
      <c r="A348" s="69">
        <v>44433</v>
      </c>
      <c r="B348" s="54">
        <v>2766.97</v>
      </c>
      <c r="C348" s="54">
        <v>16634.650000000001</v>
      </c>
      <c r="D348" s="54">
        <f t="shared" si="15"/>
        <v>-1.7668922582547271E-2</v>
      </c>
      <c r="E348" s="54">
        <f t="shared" si="16"/>
        <v>1.3525068735473022E-4</v>
      </c>
      <c r="F348" s="55">
        <f t="shared" si="17"/>
        <v>2021</v>
      </c>
    </row>
    <row r="349" spans="1:6" x14ac:dyDescent="0.35">
      <c r="A349" s="69">
        <v>44434</v>
      </c>
      <c r="B349" s="54">
        <v>2718.51</v>
      </c>
      <c r="C349" s="54">
        <v>16636.900000000001</v>
      </c>
      <c r="D349" s="54">
        <f t="shared" si="15"/>
        <v>5.3771543479071066E-2</v>
      </c>
      <c r="E349" s="54">
        <f t="shared" si="16"/>
        <v>4.0969282398875722E-3</v>
      </c>
      <c r="F349" s="55">
        <f t="shared" si="17"/>
        <v>2021</v>
      </c>
    </row>
    <row r="350" spans="1:6" x14ac:dyDescent="0.35">
      <c r="A350" s="69">
        <v>44435</v>
      </c>
      <c r="B350" s="54">
        <v>2868.69</v>
      </c>
      <c r="C350" s="54">
        <v>16705.2</v>
      </c>
      <c r="D350" s="54">
        <f t="shared" si="15"/>
        <v>-1.0329635112462454E-2</v>
      </c>
      <c r="E350" s="54">
        <f t="shared" si="16"/>
        <v>1.3429166104186735E-2</v>
      </c>
      <c r="F350" s="55">
        <f t="shared" si="17"/>
        <v>2021</v>
      </c>
    </row>
    <row r="351" spans="1:6" x14ac:dyDescent="0.35">
      <c r="A351" s="69">
        <v>44438</v>
      </c>
      <c r="B351" s="54">
        <v>2839.21</v>
      </c>
      <c r="C351" s="54">
        <v>16931.05</v>
      </c>
      <c r="D351" s="54">
        <f t="shared" si="15"/>
        <v>1.1468879049532707E-2</v>
      </c>
      <c r="E351" s="54">
        <f t="shared" si="16"/>
        <v>1.1810519440649946E-2</v>
      </c>
      <c r="F351" s="55">
        <f t="shared" si="17"/>
        <v>2021</v>
      </c>
    </row>
    <row r="352" spans="1:6" x14ac:dyDescent="0.35">
      <c r="A352" s="69">
        <v>44439</v>
      </c>
      <c r="B352" s="54">
        <v>2871.96</v>
      </c>
      <c r="C352" s="54">
        <v>17132.2</v>
      </c>
      <c r="D352" s="54">
        <f t="shared" si="15"/>
        <v>-2.2205336000407246E-2</v>
      </c>
      <c r="E352" s="54">
        <f t="shared" si="16"/>
        <v>-3.2711245256615783E-3</v>
      </c>
      <c r="F352" s="55">
        <f t="shared" si="17"/>
        <v>2021</v>
      </c>
    </row>
    <row r="353" spans="1:6" x14ac:dyDescent="0.35">
      <c r="A353" s="69">
        <v>44440</v>
      </c>
      <c r="B353" s="54">
        <v>2808.89</v>
      </c>
      <c r="C353" s="54">
        <v>17076.25</v>
      </c>
      <c r="D353" s="54">
        <f t="shared" si="15"/>
        <v>1.8923448464736526E-2</v>
      </c>
      <c r="E353" s="54">
        <f t="shared" si="16"/>
        <v>9.2042712853325718E-3</v>
      </c>
      <c r="F353" s="55">
        <f t="shared" si="17"/>
        <v>2021</v>
      </c>
    </row>
    <row r="354" spans="1:6" x14ac:dyDescent="0.35">
      <c r="A354" s="69">
        <v>44441</v>
      </c>
      <c r="B354" s="54">
        <v>2862.55</v>
      </c>
      <c r="C354" s="54">
        <v>17234.150000000001</v>
      </c>
      <c r="D354" s="54">
        <f t="shared" si="15"/>
        <v>2.1793588057491018E-2</v>
      </c>
      <c r="E354" s="54">
        <f t="shared" si="16"/>
        <v>5.1768532251176254E-3</v>
      </c>
      <c r="F354" s="55">
        <f t="shared" si="17"/>
        <v>2021</v>
      </c>
    </row>
    <row r="355" spans="1:6" x14ac:dyDescent="0.35">
      <c r="A355" s="69">
        <v>44442</v>
      </c>
      <c r="B355" s="54">
        <v>2925.62</v>
      </c>
      <c r="C355" s="54">
        <v>17323.599999999999</v>
      </c>
      <c r="D355" s="54">
        <f t="shared" si="15"/>
        <v>2.4575724134257459E-2</v>
      </c>
      <c r="E355" s="54">
        <f t="shared" si="16"/>
        <v>3.1237958165422752E-3</v>
      </c>
      <c r="F355" s="55">
        <f t="shared" si="17"/>
        <v>2021</v>
      </c>
    </row>
    <row r="356" spans="1:6" x14ac:dyDescent="0.35">
      <c r="A356" s="69">
        <v>44445</v>
      </c>
      <c r="B356" s="54">
        <v>2998.41</v>
      </c>
      <c r="C356" s="54">
        <v>17377.8</v>
      </c>
      <c r="D356" s="54">
        <f t="shared" si="15"/>
        <v>-1.6412580230666596E-2</v>
      </c>
      <c r="E356" s="54">
        <f t="shared" si="16"/>
        <v>-9.0385988841995806E-4</v>
      </c>
      <c r="F356" s="55">
        <f t="shared" si="17"/>
        <v>2021</v>
      </c>
    </row>
    <row r="357" spans="1:6" x14ac:dyDescent="0.35">
      <c r="A357" s="69">
        <v>44446</v>
      </c>
      <c r="B357" s="54">
        <v>2949.6</v>
      </c>
      <c r="C357" s="54">
        <v>17362.099999999999</v>
      </c>
      <c r="D357" s="54">
        <f t="shared" si="15"/>
        <v>-6.1143966783848754E-3</v>
      </c>
      <c r="E357" s="54">
        <f t="shared" si="16"/>
        <v>-4.9545450321603589E-4</v>
      </c>
      <c r="F357" s="55">
        <f t="shared" si="17"/>
        <v>2021</v>
      </c>
    </row>
    <row r="358" spans="1:6" x14ac:dyDescent="0.35">
      <c r="A358" s="69">
        <v>44447</v>
      </c>
      <c r="B358" s="54">
        <v>2931.62</v>
      </c>
      <c r="C358" s="54">
        <v>17353.5</v>
      </c>
      <c r="D358" s="54">
        <f t="shared" si="15"/>
        <v>1.1844490194594012E-2</v>
      </c>
      <c r="E358" s="54">
        <f t="shared" si="16"/>
        <v>9.0718627298651939E-4</v>
      </c>
      <c r="F358" s="55">
        <f t="shared" si="17"/>
        <v>2021</v>
      </c>
    </row>
    <row r="359" spans="1:6" x14ac:dyDescent="0.35">
      <c r="A359" s="69">
        <v>44448</v>
      </c>
      <c r="B359" s="54">
        <v>2966.55</v>
      </c>
      <c r="C359" s="54">
        <v>17369.25</v>
      </c>
      <c r="D359" s="54">
        <f t="shared" si="15"/>
        <v>1.127929165864618E-2</v>
      </c>
      <c r="E359" s="54">
        <f t="shared" si="16"/>
        <v>-8.0346617885402119E-4</v>
      </c>
      <c r="F359" s="55">
        <f t="shared" si="17"/>
        <v>2021</v>
      </c>
    </row>
    <row r="360" spans="1:6" x14ac:dyDescent="0.35">
      <c r="A360" s="69">
        <v>44452</v>
      </c>
      <c r="B360" s="54">
        <v>3000.2</v>
      </c>
      <c r="C360" s="54">
        <v>17355.3</v>
      </c>
      <c r="D360" s="54">
        <f t="shared" si="15"/>
        <v>1.8247928172400018E-2</v>
      </c>
      <c r="E360" s="54">
        <f t="shared" si="16"/>
        <v>1.4221845881971984E-3</v>
      </c>
      <c r="F360" s="55">
        <f t="shared" si="17"/>
        <v>2021</v>
      </c>
    </row>
    <row r="361" spans="1:6" x14ac:dyDescent="0.35">
      <c r="A361" s="69">
        <v>44453</v>
      </c>
      <c r="B361" s="54">
        <v>3055.45</v>
      </c>
      <c r="C361" s="54">
        <v>17380</v>
      </c>
      <c r="D361" s="54">
        <f t="shared" si="15"/>
        <v>4.3658139697896163E-2</v>
      </c>
      <c r="E361" s="54">
        <f t="shared" si="16"/>
        <v>7.9915724841745379E-3</v>
      </c>
      <c r="F361" s="55">
        <f t="shared" si="17"/>
        <v>2021</v>
      </c>
    </row>
    <row r="362" spans="1:6" x14ac:dyDescent="0.35">
      <c r="A362" s="69">
        <v>44454</v>
      </c>
      <c r="B362" s="54">
        <v>3191.8</v>
      </c>
      <c r="C362" s="54">
        <v>17519.45</v>
      </c>
      <c r="D362" s="54">
        <f t="shared" si="15"/>
        <v>-5.3403827483655235E-3</v>
      </c>
      <c r="E362" s="54">
        <f t="shared" si="16"/>
        <v>6.2619429374609938E-3</v>
      </c>
      <c r="F362" s="55">
        <f t="shared" si="17"/>
        <v>2021</v>
      </c>
    </row>
    <row r="363" spans="1:6" x14ac:dyDescent="0.35">
      <c r="A363" s="69">
        <v>44455</v>
      </c>
      <c r="B363" s="54">
        <v>3174.8</v>
      </c>
      <c r="C363" s="54">
        <v>17629.5</v>
      </c>
      <c r="D363" s="54">
        <f t="shared" si="15"/>
        <v>6.0607197719495165E-3</v>
      </c>
      <c r="E363" s="54">
        <f t="shared" si="16"/>
        <v>-2.5188393721590984E-3</v>
      </c>
      <c r="F363" s="55">
        <f t="shared" si="17"/>
        <v>2021</v>
      </c>
    </row>
    <row r="364" spans="1:6" x14ac:dyDescent="0.35">
      <c r="A364" s="69">
        <v>44456</v>
      </c>
      <c r="B364" s="54">
        <v>3194.1</v>
      </c>
      <c r="C364" s="54">
        <v>17585.150000000001</v>
      </c>
      <c r="D364" s="54">
        <f t="shared" si="15"/>
        <v>-2.7744288420971042E-2</v>
      </c>
      <c r="E364" s="54">
        <f t="shared" si="16"/>
        <v>-1.0762766458321043E-2</v>
      </c>
      <c r="F364" s="55">
        <f t="shared" si="17"/>
        <v>2021</v>
      </c>
    </row>
    <row r="365" spans="1:6" x14ac:dyDescent="0.35">
      <c r="A365" s="69">
        <v>44459</v>
      </c>
      <c r="B365" s="54">
        <v>3106.7</v>
      </c>
      <c r="C365" s="54">
        <v>17396.900000000001</v>
      </c>
      <c r="D365" s="54">
        <f t="shared" si="15"/>
        <v>2.8636160707658172E-2</v>
      </c>
      <c r="E365" s="54">
        <f t="shared" si="16"/>
        <v>9.4454475094025107E-3</v>
      </c>
      <c r="F365" s="55">
        <f t="shared" si="17"/>
        <v>2021</v>
      </c>
    </row>
    <row r="366" spans="1:6" x14ac:dyDescent="0.35">
      <c r="A366" s="69">
        <v>44460</v>
      </c>
      <c r="B366" s="54">
        <v>3196.95</v>
      </c>
      <c r="C366" s="54">
        <v>17562</v>
      </c>
      <c r="D366" s="54">
        <f t="shared" si="15"/>
        <v>1.678079079339188E-2</v>
      </c>
      <c r="E366" s="54">
        <f t="shared" si="16"/>
        <v>-8.744284373270665E-4</v>
      </c>
      <c r="F366" s="55">
        <f t="shared" si="17"/>
        <v>2021</v>
      </c>
    </row>
    <row r="367" spans="1:6" x14ac:dyDescent="0.35">
      <c r="A367" s="69">
        <v>44461</v>
      </c>
      <c r="B367" s="54">
        <v>3251.05</v>
      </c>
      <c r="C367" s="54">
        <v>17546.650000000001</v>
      </c>
      <c r="D367" s="54">
        <f t="shared" si="15"/>
        <v>2.6573536352538583E-2</v>
      </c>
      <c r="E367" s="54">
        <f t="shared" si="16"/>
        <v>1.5623904173446654E-2</v>
      </c>
      <c r="F367" s="55">
        <f t="shared" si="17"/>
        <v>2021</v>
      </c>
    </row>
    <row r="368" spans="1:6" x14ac:dyDescent="0.35">
      <c r="A368" s="69">
        <v>44462</v>
      </c>
      <c r="B368" s="54">
        <v>3338.6</v>
      </c>
      <c r="C368" s="54">
        <v>17822.95</v>
      </c>
      <c r="D368" s="54">
        <f t="shared" si="15"/>
        <v>1.1225949584470964E-3</v>
      </c>
      <c r="E368" s="54">
        <f t="shared" si="16"/>
        <v>1.6958111931557232E-3</v>
      </c>
      <c r="F368" s="55">
        <f t="shared" si="17"/>
        <v>2021</v>
      </c>
    </row>
    <row r="369" spans="1:6" x14ac:dyDescent="0.35">
      <c r="A369" s="69">
        <v>44463</v>
      </c>
      <c r="B369" s="54">
        <v>3342.35</v>
      </c>
      <c r="C369" s="54">
        <v>17853.2</v>
      </c>
      <c r="D369" s="54">
        <f t="shared" si="15"/>
        <v>-3.7820882566676463E-2</v>
      </c>
      <c r="E369" s="54">
        <f t="shared" si="16"/>
        <v>1.0641783572961581E-4</v>
      </c>
      <c r="F369" s="55">
        <f t="shared" si="17"/>
        <v>2021</v>
      </c>
    </row>
    <row r="370" spans="1:6" x14ac:dyDescent="0.35">
      <c r="A370" s="69">
        <v>44466</v>
      </c>
      <c r="B370" s="54">
        <v>3218.3</v>
      </c>
      <c r="C370" s="54">
        <v>17855.099999999999</v>
      </c>
      <c r="D370" s="54">
        <f t="shared" si="15"/>
        <v>-1.9959865522048644E-2</v>
      </c>
      <c r="E370" s="54">
        <f t="shared" si="16"/>
        <v>-5.982542131478065E-3</v>
      </c>
      <c r="F370" s="55">
        <f t="shared" si="17"/>
        <v>2021</v>
      </c>
    </row>
    <row r="371" spans="1:6" x14ac:dyDescent="0.35">
      <c r="A371" s="69">
        <v>44467</v>
      </c>
      <c r="B371" s="54">
        <v>3154.7</v>
      </c>
      <c r="C371" s="54">
        <v>17748.599999999999</v>
      </c>
      <c r="D371" s="54">
        <f t="shared" si="15"/>
        <v>-3.031820540250123E-3</v>
      </c>
      <c r="E371" s="54">
        <f t="shared" si="16"/>
        <v>-2.1037856145795374E-3</v>
      </c>
      <c r="F371" s="55">
        <f t="shared" si="17"/>
        <v>2021</v>
      </c>
    </row>
    <row r="372" spans="1:6" x14ac:dyDescent="0.35">
      <c r="A372" s="69">
        <v>44468</v>
      </c>
      <c r="B372" s="54">
        <v>3145.15</v>
      </c>
      <c r="C372" s="54">
        <v>17711.3</v>
      </c>
      <c r="D372" s="54">
        <f t="shared" si="15"/>
        <v>-1.3041123770775705E-2</v>
      </c>
      <c r="E372" s="54">
        <f t="shared" si="16"/>
        <v>-5.2732332856385341E-3</v>
      </c>
      <c r="F372" s="55">
        <f t="shared" si="17"/>
        <v>2021</v>
      </c>
    </row>
    <row r="373" spans="1:6" x14ac:dyDescent="0.35">
      <c r="A373" s="69">
        <v>44469</v>
      </c>
      <c r="B373" s="54">
        <v>3104.4</v>
      </c>
      <c r="C373" s="54">
        <v>17618.150000000001</v>
      </c>
      <c r="D373" s="54">
        <f t="shared" si="15"/>
        <v>-2.5496230727715546E-2</v>
      </c>
      <c r="E373" s="54">
        <f t="shared" si="16"/>
        <v>-4.8989861907132821E-3</v>
      </c>
      <c r="F373" s="55">
        <f t="shared" si="17"/>
        <v>2021</v>
      </c>
    </row>
    <row r="374" spans="1:6" x14ac:dyDescent="0.35">
      <c r="A374" s="69">
        <v>44470</v>
      </c>
      <c r="B374" s="54">
        <v>3026.25</v>
      </c>
      <c r="C374" s="54">
        <v>17532.05</v>
      </c>
      <c r="D374" s="54">
        <f t="shared" si="15"/>
        <v>2.0555557078546477E-2</v>
      </c>
      <c r="E374" s="54">
        <f t="shared" si="16"/>
        <v>9.0395325855123446E-3</v>
      </c>
      <c r="F374" s="55">
        <f t="shared" si="17"/>
        <v>2021</v>
      </c>
    </row>
    <row r="375" spans="1:6" x14ac:dyDescent="0.35">
      <c r="A375" s="69">
        <v>44473</v>
      </c>
      <c r="B375" s="54">
        <v>3089.1</v>
      </c>
      <c r="C375" s="54">
        <v>17691.25</v>
      </c>
      <c r="D375" s="54">
        <f t="shared" si="15"/>
        <v>1.6756940630711398E-2</v>
      </c>
      <c r="E375" s="54">
        <f t="shared" si="16"/>
        <v>7.3803151105359625E-3</v>
      </c>
      <c r="F375" s="55">
        <f t="shared" si="17"/>
        <v>2021</v>
      </c>
    </row>
    <row r="376" spans="1:6" x14ac:dyDescent="0.35">
      <c r="A376" s="69">
        <v>44474</v>
      </c>
      <c r="B376" s="54">
        <v>3141.3</v>
      </c>
      <c r="C376" s="54">
        <v>17822.3</v>
      </c>
      <c r="D376" s="54">
        <f t="shared" si="15"/>
        <v>-9.4996636289071453E-3</v>
      </c>
      <c r="E376" s="54">
        <f t="shared" si="16"/>
        <v>-9.9413533765346368E-3</v>
      </c>
      <c r="F376" s="55">
        <f t="shared" si="17"/>
        <v>2021</v>
      </c>
    </row>
    <row r="377" spans="1:6" x14ac:dyDescent="0.35">
      <c r="A377" s="69">
        <v>44475</v>
      </c>
      <c r="B377" s="54">
        <v>3111.6</v>
      </c>
      <c r="C377" s="54">
        <v>17646</v>
      </c>
      <c r="D377" s="54">
        <f t="shared" si="15"/>
        <v>2.3691920806175316E-2</v>
      </c>
      <c r="E377" s="54">
        <f t="shared" si="16"/>
        <v>8.1470466584434558E-3</v>
      </c>
      <c r="F377" s="55">
        <f t="shared" si="17"/>
        <v>2021</v>
      </c>
    </row>
    <row r="378" spans="1:6" x14ac:dyDescent="0.35">
      <c r="A378" s="69">
        <v>44476</v>
      </c>
      <c r="B378" s="54">
        <v>3186.2</v>
      </c>
      <c r="C378" s="54">
        <v>17790.349999999999</v>
      </c>
      <c r="D378" s="54">
        <f t="shared" si="15"/>
        <v>1.910267371570714E-2</v>
      </c>
      <c r="E378" s="54">
        <f t="shared" si="16"/>
        <v>5.8763450034090793E-3</v>
      </c>
      <c r="F378" s="55">
        <f t="shared" si="17"/>
        <v>2021</v>
      </c>
    </row>
    <row r="379" spans="1:6" x14ac:dyDescent="0.35">
      <c r="A379" s="69">
        <v>44477</v>
      </c>
      <c r="B379" s="54">
        <v>3247.65</v>
      </c>
      <c r="C379" s="54">
        <v>17895.2</v>
      </c>
      <c r="D379" s="54">
        <f t="shared" si="15"/>
        <v>-4.4982356799805008E-2</v>
      </c>
      <c r="E379" s="54">
        <f t="shared" si="16"/>
        <v>2.831942274032983E-3</v>
      </c>
      <c r="F379" s="55">
        <f t="shared" si="17"/>
        <v>2021</v>
      </c>
    </row>
    <row r="380" spans="1:6" x14ac:dyDescent="0.35">
      <c r="A380" s="69">
        <v>44480</v>
      </c>
      <c r="B380" s="54">
        <v>3104.8</v>
      </c>
      <c r="C380" s="54">
        <v>17945.95</v>
      </c>
      <c r="D380" s="54">
        <f t="shared" si="15"/>
        <v>6.0048668789279488E-3</v>
      </c>
      <c r="E380" s="54">
        <f t="shared" si="16"/>
        <v>2.5599729044600752E-3</v>
      </c>
      <c r="F380" s="55">
        <f t="shared" si="17"/>
        <v>2021</v>
      </c>
    </row>
    <row r="381" spans="1:6" x14ac:dyDescent="0.35">
      <c r="A381" s="69">
        <v>44481</v>
      </c>
      <c r="B381" s="54">
        <v>3123.5</v>
      </c>
      <c r="C381" s="54">
        <v>17991.95</v>
      </c>
      <c r="D381" s="54">
        <f t="shared" si="15"/>
        <v>2.174678652945532E-3</v>
      </c>
      <c r="E381" s="54">
        <f t="shared" si="16"/>
        <v>9.3932985287852669E-3</v>
      </c>
      <c r="F381" s="55">
        <f t="shared" si="17"/>
        <v>2021</v>
      </c>
    </row>
    <row r="382" spans="1:6" x14ac:dyDescent="0.35">
      <c r="A382" s="69">
        <v>44482</v>
      </c>
      <c r="B382" s="54">
        <v>3130.3</v>
      </c>
      <c r="C382" s="54">
        <v>18161.75</v>
      </c>
      <c r="D382" s="54">
        <f t="shared" si="15"/>
        <v>4.262084203246868E-2</v>
      </c>
      <c r="E382" s="54">
        <f t="shared" si="16"/>
        <v>9.6876673744827318E-3</v>
      </c>
      <c r="F382" s="55">
        <f t="shared" si="17"/>
        <v>2021</v>
      </c>
    </row>
    <row r="383" spans="1:6" x14ac:dyDescent="0.35">
      <c r="A383" s="69">
        <v>44483</v>
      </c>
      <c r="B383" s="54">
        <v>3266.6</v>
      </c>
      <c r="C383" s="54">
        <v>18338.55</v>
      </c>
      <c r="D383" s="54">
        <f t="shared" si="15"/>
        <v>2.7208659862746246E-2</v>
      </c>
      <c r="E383" s="54">
        <f t="shared" si="16"/>
        <v>7.5240198928300944E-3</v>
      </c>
      <c r="F383" s="55">
        <f t="shared" si="17"/>
        <v>2021</v>
      </c>
    </row>
    <row r="384" spans="1:6" x14ac:dyDescent="0.35">
      <c r="A384" s="69">
        <v>44487</v>
      </c>
      <c r="B384" s="54">
        <v>3356.7</v>
      </c>
      <c r="C384" s="54">
        <v>18477.05</v>
      </c>
      <c r="D384" s="54">
        <f t="shared" si="15"/>
        <v>5.4988754654092684E-2</v>
      </c>
      <c r="E384" s="54">
        <f t="shared" si="16"/>
        <v>-3.1602539324889403E-3</v>
      </c>
      <c r="F384" s="55">
        <f t="shared" si="17"/>
        <v>2021</v>
      </c>
    </row>
    <row r="385" spans="1:6" x14ac:dyDescent="0.35">
      <c r="A385" s="69">
        <v>44488</v>
      </c>
      <c r="B385" s="54">
        <v>3546.45</v>
      </c>
      <c r="C385" s="54">
        <v>18418.75</v>
      </c>
      <c r="D385" s="54">
        <f t="shared" si="15"/>
        <v>-2.1749282463555574E-2</v>
      </c>
      <c r="E385" s="54">
        <f t="shared" si="16"/>
        <v>-8.2949118597041606E-3</v>
      </c>
      <c r="F385" s="55">
        <f t="shared" si="17"/>
        <v>2021</v>
      </c>
    </row>
    <row r="386" spans="1:6" x14ac:dyDescent="0.35">
      <c r="A386" s="69">
        <v>44489</v>
      </c>
      <c r="B386" s="54">
        <v>3470.15</v>
      </c>
      <c r="C386" s="54">
        <v>18266.599999999999</v>
      </c>
      <c r="D386" s="54">
        <f t="shared" ref="D386:D449" si="18">LN(B387/B386)</f>
        <v>-2.1467052185682289E-2</v>
      </c>
      <c r="E386" s="54">
        <f t="shared" ref="E386:E449" si="19">LN(C387/C386)</f>
        <v>-4.8566828074737599E-3</v>
      </c>
      <c r="F386" s="55">
        <f t="shared" ref="F386:F449" si="20">YEAR(A386)</f>
        <v>2021</v>
      </c>
    </row>
    <row r="387" spans="1:6" x14ac:dyDescent="0.35">
      <c r="A387" s="69">
        <v>44490</v>
      </c>
      <c r="B387" s="54">
        <v>3396.45</v>
      </c>
      <c r="C387" s="54">
        <v>18178.099999999999</v>
      </c>
      <c r="D387" s="54">
        <f t="shared" si="18"/>
        <v>-4.2630662990125426E-2</v>
      </c>
      <c r="E387" s="54">
        <f t="shared" si="19"/>
        <v>-3.4827687919410082E-3</v>
      </c>
      <c r="F387" s="55">
        <f t="shared" si="20"/>
        <v>2021</v>
      </c>
    </row>
    <row r="388" spans="1:6" x14ac:dyDescent="0.35">
      <c r="A388" s="69">
        <v>44491</v>
      </c>
      <c r="B388" s="54">
        <v>3254.7</v>
      </c>
      <c r="C388" s="54">
        <v>18114.900000000001</v>
      </c>
      <c r="D388" s="54">
        <f t="shared" si="18"/>
        <v>-1.5793713650905504E-2</v>
      </c>
      <c r="E388" s="54">
        <f t="shared" si="19"/>
        <v>5.7946541799084499E-4</v>
      </c>
      <c r="F388" s="55">
        <f t="shared" si="20"/>
        <v>2021</v>
      </c>
    </row>
    <row r="389" spans="1:6" x14ac:dyDescent="0.35">
      <c r="A389" s="69">
        <v>44494</v>
      </c>
      <c r="B389" s="54">
        <v>3203.7</v>
      </c>
      <c r="C389" s="54">
        <v>18125.400000000001</v>
      </c>
      <c r="D389" s="54">
        <f t="shared" si="18"/>
        <v>1.2500744389694287E-2</v>
      </c>
      <c r="E389" s="54">
        <f t="shared" si="19"/>
        <v>7.858521832249608E-3</v>
      </c>
      <c r="F389" s="55">
        <f t="shared" si="20"/>
        <v>2021</v>
      </c>
    </row>
    <row r="390" spans="1:6" x14ac:dyDescent="0.35">
      <c r="A390" s="69">
        <v>44495</v>
      </c>
      <c r="B390" s="54">
        <v>3244</v>
      </c>
      <c r="C390" s="54">
        <v>18268.400000000001</v>
      </c>
      <c r="D390" s="54">
        <f t="shared" si="18"/>
        <v>3.2630707503827766E-2</v>
      </c>
      <c r="E390" s="54">
        <f t="shared" si="19"/>
        <v>-3.1497297783985938E-3</v>
      </c>
      <c r="F390" s="55">
        <f t="shared" si="20"/>
        <v>2021</v>
      </c>
    </row>
    <row r="391" spans="1:6" x14ac:dyDescent="0.35">
      <c r="A391" s="69">
        <v>44496</v>
      </c>
      <c r="B391" s="54">
        <v>3351.6</v>
      </c>
      <c r="C391" s="54">
        <v>18210.95</v>
      </c>
      <c r="D391" s="54">
        <f t="shared" si="18"/>
        <v>-2.4372667358685617E-2</v>
      </c>
      <c r="E391" s="54">
        <f t="shared" si="19"/>
        <v>-1.961347328760292E-2</v>
      </c>
      <c r="F391" s="55">
        <f t="shared" si="20"/>
        <v>2021</v>
      </c>
    </row>
    <row r="392" spans="1:6" x14ac:dyDescent="0.35">
      <c r="A392" s="69">
        <v>44497</v>
      </c>
      <c r="B392" s="54">
        <v>3270.9</v>
      </c>
      <c r="C392" s="54">
        <v>17857.25</v>
      </c>
      <c r="D392" s="54">
        <f t="shared" si="18"/>
        <v>-1.0788983809209363E-2</v>
      </c>
      <c r="E392" s="54">
        <f t="shared" si="19"/>
        <v>-1.0447927649083697E-2</v>
      </c>
      <c r="F392" s="55">
        <f t="shared" si="20"/>
        <v>2021</v>
      </c>
    </row>
    <row r="393" spans="1:6" x14ac:dyDescent="0.35">
      <c r="A393" s="69">
        <v>44498</v>
      </c>
      <c r="B393" s="54">
        <v>3235.8</v>
      </c>
      <c r="C393" s="54">
        <v>17671.650000000001</v>
      </c>
      <c r="D393" s="54">
        <f t="shared" si="18"/>
        <v>2.5974693986059168E-2</v>
      </c>
      <c r="E393" s="54">
        <f t="shared" si="19"/>
        <v>1.4494106489669145E-2</v>
      </c>
      <c r="F393" s="55">
        <f t="shared" si="20"/>
        <v>2021</v>
      </c>
    </row>
    <row r="394" spans="1:6" x14ac:dyDescent="0.35">
      <c r="A394" s="69">
        <v>44501</v>
      </c>
      <c r="B394" s="54">
        <v>3320.95</v>
      </c>
      <c r="C394" s="54">
        <v>17929.650000000001</v>
      </c>
      <c r="D394" s="54">
        <f t="shared" si="18"/>
        <v>1.9856059669332442E-2</v>
      </c>
      <c r="E394" s="54">
        <f t="shared" si="19"/>
        <v>-2.2725632780962878E-3</v>
      </c>
      <c r="F394" s="55">
        <f t="shared" si="20"/>
        <v>2021</v>
      </c>
    </row>
    <row r="395" spans="1:6" x14ac:dyDescent="0.35">
      <c r="A395" s="69">
        <v>44502</v>
      </c>
      <c r="B395" s="54">
        <v>3387.55</v>
      </c>
      <c r="C395" s="54">
        <v>17888.95</v>
      </c>
      <c r="D395" s="54">
        <f t="shared" si="18"/>
        <v>-2.6381466870104526E-2</v>
      </c>
      <c r="E395" s="54">
        <f t="shared" si="19"/>
        <v>-3.3456411226991806E-3</v>
      </c>
      <c r="F395" s="55">
        <f t="shared" si="20"/>
        <v>2021</v>
      </c>
    </row>
    <row r="396" spans="1:6" x14ac:dyDescent="0.35">
      <c r="A396" s="69">
        <v>44503</v>
      </c>
      <c r="B396" s="54">
        <v>3299.35</v>
      </c>
      <c r="C396" s="54">
        <v>17829.2</v>
      </c>
      <c r="D396" s="54">
        <f t="shared" si="18"/>
        <v>5.2146824234749556E-3</v>
      </c>
      <c r="E396" s="54">
        <f t="shared" si="19"/>
        <v>4.9012575036592558E-3</v>
      </c>
      <c r="F396" s="55">
        <f t="shared" si="20"/>
        <v>2021</v>
      </c>
    </row>
    <row r="397" spans="1:6" x14ac:dyDescent="0.35">
      <c r="A397" s="69">
        <v>44504</v>
      </c>
      <c r="B397" s="54">
        <v>3316.6</v>
      </c>
      <c r="C397" s="54">
        <v>17916.8</v>
      </c>
      <c r="D397" s="54">
        <f t="shared" si="18"/>
        <v>2.0458056730812007E-2</v>
      </c>
      <c r="E397" s="54">
        <f t="shared" si="19"/>
        <v>8.4340377145086798E-3</v>
      </c>
      <c r="F397" s="55">
        <f t="shared" si="20"/>
        <v>2021</v>
      </c>
    </row>
    <row r="398" spans="1:6" x14ac:dyDescent="0.35">
      <c r="A398" s="69">
        <v>44508</v>
      </c>
      <c r="B398" s="54">
        <v>3385.15</v>
      </c>
      <c r="C398" s="54">
        <v>18068.55</v>
      </c>
      <c r="D398" s="54">
        <f t="shared" si="18"/>
        <v>-3.5660156902898176E-3</v>
      </c>
      <c r="E398" s="54">
        <f t="shared" si="19"/>
        <v>-1.3457834157164536E-3</v>
      </c>
      <c r="F398" s="55">
        <f t="shared" si="20"/>
        <v>2021</v>
      </c>
    </row>
    <row r="399" spans="1:6" x14ac:dyDescent="0.35">
      <c r="A399" s="69">
        <v>44509</v>
      </c>
      <c r="B399" s="54">
        <v>3373.1</v>
      </c>
      <c r="C399" s="54">
        <v>18044.25</v>
      </c>
      <c r="D399" s="54">
        <f t="shared" si="18"/>
        <v>-2.9690351670003268E-3</v>
      </c>
      <c r="E399" s="54">
        <f t="shared" si="19"/>
        <v>-1.5002172720921161E-3</v>
      </c>
      <c r="F399" s="55">
        <f t="shared" si="20"/>
        <v>2021</v>
      </c>
    </row>
    <row r="400" spans="1:6" x14ac:dyDescent="0.35">
      <c r="A400" s="69">
        <v>44510</v>
      </c>
      <c r="B400" s="54">
        <v>3363.1</v>
      </c>
      <c r="C400" s="54">
        <v>18017.2</v>
      </c>
      <c r="D400" s="54">
        <f t="shared" si="18"/>
        <v>-4.42534638628868E-3</v>
      </c>
      <c r="E400" s="54">
        <f t="shared" si="19"/>
        <v>-8.0020933646903214E-3</v>
      </c>
      <c r="F400" s="55">
        <f t="shared" si="20"/>
        <v>2021</v>
      </c>
    </row>
    <row r="401" spans="1:6" x14ac:dyDescent="0.35">
      <c r="A401" s="69">
        <v>44511</v>
      </c>
      <c r="B401" s="54">
        <v>3348.25</v>
      </c>
      <c r="C401" s="54">
        <v>17873.599999999999</v>
      </c>
      <c r="D401" s="54">
        <f t="shared" si="18"/>
        <v>1.5369352364759405E-3</v>
      </c>
      <c r="E401" s="54">
        <f t="shared" si="19"/>
        <v>1.2739096598234837E-2</v>
      </c>
      <c r="F401" s="55">
        <f t="shared" si="20"/>
        <v>2021</v>
      </c>
    </row>
    <row r="402" spans="1:6" x14ac:dyDescent="0.35">
      <c r="A402" s="69">
        <v>44512</v>
      </c>
      <c r="B402" s="54">
        <v>3353.4</v>
      </c>
      <c r="C402" s="54">
        <v>18102.75</v>
      </c>
      <c r="D402" s="54">
        <f t="shared" si="18"/>
        <v>2.0469565010157984E-2</v>
      </c>
      <c r="E402" s="54">
        <f t="shared" si="19"/>
        <v>3.700410401166087E-4</v>
      </c>
      <c r="F402" s="55">
        <f t="shared" si="20"/>
        <v>2021</v>
      </c>
    </row>
    <row r="403" spans="1:6" x14ac:dyDescent="0.35">
      <c r="A403" s="69">
        <v>44515</v>
      </c>
      <c r="B403" s="54">
        <v>3422.75</v>
      </c>
      <c r="C403" s="54">
        <v>18109.45</v>
      </c>
      <c r="D403" s="54">
        <f t="shared" si="18"/>
        <v>9.1899848482693784E-3</v>
      </c>
      <c r="E403" s="54">
        <f t="shared" si="19"/>
        <v>-6.1065890087613648E-3</v>
      </c>
      <c r="F403" s="55">
        <f t="shared" si="20"/>
        <v>2021</v>
      </c>
    </row>
    <row r="404" spans="1:6" x14ac:dyDescent="0.35">
      <c r="A404" s="69">
        <v>44516</v>
      </c>
      <c r="B404" s="54">
        <v>3454.35</v>
      </c>
      <c r="C404" s="54">
        <v>17999.2</v>
      </c>
      <c r="D404" s="54">
        <f t="shared" si="18"/>
        <v>-3.3927827238502935E-3</v>
      </c>
      <c r="E404" s="54">
        <f t="shared" si="19"/>
        <v>-5.6020214558960254E-3</v>
      </c>
      <c r="F404" s="55">
        <f t="shared" si="20"/>
        <v>2021</v>
      </c>
    </row>
    <row r="405" spans="1:6" x14ac:dyDescent="0.35">
      <c r="A405" s="69">
        <v>44517</v>
      </c>
      <c r="B405" s="54">
        <v>3442.65</v>
      </c>
      <c r="C405" s="54">
        <v>17898.650000000001</v>
      </c>
      <c r="D405" s="54">
        <f t="shared" si="18"/>
        <v>-3.0525240073836724E-2</v>
      </c>
      <c r="E405" s="54">
        <f t="shared" si="19"/>
        <v>-7.5063196902765391E-3</v>
      </c>
      <c r="F405" s="55">
        <f t="shared" si="20"/>
        <v>2021</v>
      </c>
    </row>
    <row r="406" spans="1:6" x14ac:dyDescent="0.35">
      <c r="A406" s="69">
        <v>44518</v>
      </c>
      <c r="B406" s="54">
        <v>3339.15</v>
      </c>
      <c r="C406" s="54">
        <v>17764.8</v>
      </c>
      <c r="D406" s="54">
        <f t="shared" si="18"/>
        <v>-2.7769230080765067E-2</v>
      </c>
      <c r="E406" s="54">
        <f t="shared" si="19"/>
        <v>-1.9798067728082253E-2</v>
      </c>
      <c r="F406" s="55">
        <f t="shared" si="20"/>
        <v>2021</v>
      </c>
    </row>
    <row r="407" spans="1:6" x14ac:dyDescent="0.35">
      <c r="A407" s="69">
        <v>44522</v>
      </c>
      <c r="B407" s="54">
        <v>3247.7</v>
      </c>
      <c r="C407" s="54">
        <v>17416.55</v>
      </c>
      <c r="D407" s="54">
        <f t="shared" si="18"/>
        <v>1.3229223393772015E-2</v>
      </c>
      <c r="E407" s="54">
        <f t="shared" si="19"/>
        <v>4.9713875910040546E-3</v>
      </c>
      <c r="F407" s="55">
        <f t="shared" si="20"/>
        <v>2021</v>
      </c>
    </row>
    <row r="408" spans="1:6" x14ac:dyDescent="0.35">
      <c r="A408" s="69">
        <v>44523</v>
      </c>
      <c r="B408" s="54">
        <v>3290.95</v>
      </c>
      <c r="C408" s="54">
        <v>17503.349999999999</v>
      </c>
      <c r="D408" s="54">
        <f t="shared" si="18"/>
        <v>-2.4235782025740824E-2</v>
      </c>
      <c r="E408" s="54">
        <f t="shared" si="19"/>
        <v>-5.0575162788005449E-3</v>
      </c>
      <c r="F408" s="55">
        <f t="shared" si="20"/>
        <v>2021</v>
      </c>
    </row>
    <row r="409" spans="1:6" x14ac:dyDescent="0.35">
      <c r="A409" s="69">
        <v>44524</v>
      </c>
      <c r="B409" s="54">
        <v>3212.15</v>
      </c>
      <c r="C409" s="54">
        <v>17415.05</v>
      </c>
      <c r="D409" s="54">
        <f t="shared" si="18"/>
        <v>1.5277377653329476E-2</v>
      </c>
      <c r="E409" s="54">
        <f t="shared" si="19"/>
        <v>6.9353921488597555E-3</v>
      </c>
      <c r="F409" s="55">
        <f t="shared" si="20"/>
        <v>2021</v>
      </c>
    </row>
    <row r="410" spans="1:6" x14ac:dyDescent="0.35">
      <c r="A410" s="69">
        <v>44525</v>
      </c>
      <c r="B410" s="54">
        <v>3261.6</v>
      </c>
      <c r="C410" s="54">
        <v>17536.25</v>
      </c>
      <c r="D410" s="54">
        <f t="shared" si="18"/>
        <v>-6.4064428647961497E-2</v>
      </c>
      <c r="E410" s="54">
        <f t="shared" si="19"/>
        <v>-2.9502149772621358E-2</v>
      </c>
      <c r="F410" s="55">
        <f t="shared" si="20"/>
        <v>2021</v>
      </c>
    </row>
    <row r="411" spans="1:6" x14ac:dyDescent="0.35">
      <c r="A411" s="69">
        <v>44526</v>
      </c>
      <c r="B411" s="54">
        <v>3059.2</v>
      </c>
      <c r="C411" s="54">
        <v>17026.45</v>
      </c>
      <c r="D411" s="54">
        <f t="shared" si="18"/>
        <v>-2.3381854592773223E-2</v>
      </c>
      <c r="E411" s="54">
        <f t="shared" si="19"/>
        <v>1.6138311738437181E-3</v>
      </c>
      <c r="F411" s="55">
        <f t="shared" si="20"/>
        <v>2021</v>
      </c>
    </row>
    <row r="412" spans="1:6" x14ac:dyDescent="0.35">
      <c r="A412" s="69">
        <v>44529</v>
      </c>
      <c r="B412" s="54">
        <v>2988.5</v>
      </c>
      <c r="C412" s="54">
        <v>17053.95</v>
      </c>
      <c r="D412" s="54">
        <f t="shared" si="18"/>
        <v>-3.1734666127982127E-2</v>
      </c>
      <c r="E412" s="54">
        <f t="shared" si="19"/>
        <v>-4.1572283164124264E-3</v>
      </c>
      <c r="F412" s="55">
        <f t="shared" si="20"/>
        <v>2021</v>
      </c>
    </row>
    <row r="413" spans="1:6" x14ac:dyDescent="0.35">
      <c r="A413" s="69">
        <v>44530</v>
      </c>
      <c r="B413" s="54">
        <v>2895.15</v>
      </c>
      <c r="C413" s="54">
        <v>16983.2</v>
      </c>
      <c r="D413" s="54">
        <f t="shared" si="18"/>
        <v>3.94345758396406E-2</v>
      </c>
      <c r="E413" s="54">
        <f t="shared" si="19"/>
        <v>1.0758491006561958E-2</v>
      </c>
      <c r="F413" s="55">
        <f t="shared" si="20"/>
        <v>2021</v>
      </c>
    </row>
    <row r="414" spans="1:6" x14ac:dyDescent="0.35">
      <c r="A414" s="69">
        <v>44531</v>
      </c>
      <c r="B414" s="54">
        <v>3011.6</v>
      </c>
      <c r="C414" s="54">
        <v>17166.900000000001</v>
      </c>
      <c r="D414" s="54">
        <f t="shared" si="18"/>
        <v>3.1218316286975672E-2</v>
      </c>
      <c r="E414" s="54">
        <f t="shared" si="19"/>
        <v>1.358191816862196E-2</v>
      </c>
      <c r="F414" s="55">
        <f t="shared" si="20"/>
        <v>2021</v>
      </c>
    </row>
    <row r="415" spans="1:6" x14ac:dyDescent="0.35">
      <c r="A415" s="69">
        <v>44532</v>
      </c>
      <c r="B415" s="54">
        <v>3107.1</v>
      </c>
      <c r="C415" s="54">
        <v>17401.650000000001</v>
      </c>
      <c r="D415" s="54">
        <f t="shared" si="18"/>
        <v>-6.538661806275276E-3</v>
      </c>
      <c r="E415" s="54">
        <f t="shared" si="19"/>
        <v>-1.1847524364121427E-2</v>
      </c>
      <c r="F415" s="55">
        <f t="shared" si="20"/>
        <v>2021</v>
      </c>
    </row>
    <row r="416" spans="1:6" x14ac:dyDescent="0.35">
      <c r="A416" s="69">
        <v>44533</v>
      </c>
      <c r="B416" s="54">
        <v>3086.85</v>
      </c>
      <c r="C416" s="54">
        <v>17196.7</v>
      </c>
      <c r="D416" s="54">
        <f t="shared" si="18"/>
        <v>-2.0951058491497299E-2</v>
      </c>
      <c r="E416" s="54">
        <f t="shared" si="19"/>
        <v>-1.6679293525066932E-2</v>
      </c>
      <c r="F416" s="55">
        <f t="shared" si="20"/>
        <v>2021</v>
      </c>
    </row>
    <row r="417" spans="1:6" x14ac:dyDescent="0.35">
      <c r="A417" s="69">
        <v>44536</v>
      </c>
      <c r="B417" s="54">
        <v>3022.85</v>
      </c>
      <c r="C417" s="54">
        <v>16912.25</v>
      </c>
      <c r="D417" s="54">
        <f t="shared" si="18"/>
        <v>7.9574050205387086E-3</v>
      </c>
      <c r="E417" s="54">
        <f t="shared" si="19"/>
        <v>1.5515602865605863E-2</v>
      </c>
      <c r="F417" s="55">
        <f t="shared" si="20"/>
        <v>2021</v>
      </c>
    </row>
    <row r="418" spans="1:6" x14ac:dyDescent="0.35">
      <c r="A418" s="69">
        <v>44537</v>
      </c>
      <c r="B418" s="54">
        <v>3047</v>
      </c>
      <c r="C418" s="54">
        <v>17176.7</v>
      </c>
      <c r="D418" s="54">
        <f t="shared" si="18"/>
        <v>2.7290753783850055E-2</v>
      </c>
      <c r="E418" s="54">
        <f t="shared" si="19"/>
        <v>1.6916999510179991E-2</v>
      </c>
      <c r="F418" s="55">
        <f t="shared" si="20"/>
        <v>2021</v>
      </c>
    </row>
    <row r="419" spans="1:6" x14ac:dyDescent="0.35">
      <c r="A419" s="69">
        <v>44538</v>
      </c>
      <c r="B419" s="54">
        <v>3131.3</v>
      </c>
      <c r="C419" s="54">
        <v>17469.75</v>
      </c>
      <c r="D419" s="54">
        <f t="shared" si="18"/>
        <v>5.2679891069436072E-4</v>
      </c>
      <c r="E419" s="54">
        <f t="shared" si="19"/>
        <v>2.6924610252884998E-3</v>
      </c>
      <c r="F419" s="55">
        <f t="shared" si="20"/>
        <v>2021</v>
      </c>
    </row>
    <row r="420" spans="1:6" x14ac:dyDescent="0.35">
      <c r="A420" s="69">
        <v>44539</v>
      </c>
      <c r="B420" s="54">
        <v>3132.95</v>
      </c>
      <c r="C420" s="54">
        <v>17516.849999999999</v>
      </c>
      <c r="D420" s="54">
        <f t="shared" si="18"/>
        <v>3.0318262197990403E-4</v>
      </c>
      <c r="E420" s="54">
        <f t="shared" si="19"/>
        <v>-3.1688799131232727E-4</v>
      </c>
      <c r="F420" s="55">
        <f t="shared" si="20"/>
        <v>2021</v>
      </c>
    </row>
    <row r="421" spans="1:6" x14ac:dyDescent="0.35">
      <c r="A421" s="69">
        <v>44540</v>
      </c>
      <c r="B421" s="54">
        <v>3133.9</v>
      </c>
      <c r="C421" s="54">
        <v>17511.3</v>
      </c>
      <c r="D421" s="54">
        <f t="shared" si="18"/>
        <v>2.8329080519161342E-2</v>
      </c>
      <c r="E421" s="54">
        <f t="shared" si="19"/>
        <v>-8.2025600706723129E-3</v>
      </c>
      <c r="F421" s="55">
        <f t="shared" si="20"/>
        <v>2021</v>
      </c>
    </row>
    <row r="422" spans="1:6" x14ac:dyDescent="0.35">
      <c r="A422" s="69">
        <v>44543</v>
      </c>
      <c r="B422" s="54">
        <v>3223.95</v>
      </c>
      <c r="C422" s="54">
        <v>17368.25</v>
      </c>
      <c r="D422" s="54">
        <f t="shared" si="18"/>
        <v>-1.1339033297801383E-2</v>
      </c>
      <c r="E422" s="54">
        <f t="shared" si="19"/>
        <v>-2.4990537072034653E-3</v>
      </c>
      <c r="F422" s="55">
        <f t="shared" si="20"/>
        <v>2021</v>
      </c>
    </row>
    <row r="423" spans="1:6" x14ac:dyDescent="0.35">
      <c r="A423" s="69">
        <v>44544</v>
      </c>
      <c r="B423" s="54">
        <v>3187.6</v>
      </c>
      <c r="C423" s="54">
        <v>17324.900000000001</v>
      </c>
      <c r="D423" s="54">
        <f t="shared" si="18"/>
        <v>6.644334959939561E-3</v>
      </c>
      <c r="E423" s="54">
        <f t="shared" si="19"/>
        <v>-5.9919765456759484E-3</v>
      </c>
      <c r="F423" s="55">
        <f t="shared" si="20"/>
        <v>2021</v>
      </c>
    </row>
    <row r="424" spans="1:6" x14ac:dyDescent="0.35">
      <c r="A424" s="69">
        <v>44545</v>
      </c>
      <c r="B424" s="54">
        <v>3208.85</v>
      </c>
      <c r="C424" s="54">
        <v>17221.400000000001</v>
      </c>
      <c r="D424" s="54">
        <f t="shared" si="18"/>
        <v>4.206229955845871E-4</v>
      </c>
      <c r="E424" s="54">
        <f t="shared" si="19"/>
        <v>1.5665890444361708E-3</v>
      </c>
      <c r="F424" s="55">
        <f t="shared" si="20"/>
        <v>2021</v>
      </c>
    </row>
    <row r="425" spans="1:6" x14ac:dyDescent="0.35">
      <c r="A425" s="69">
        <v>44546</v>
      </c>
      <c r="B425" s="54">
        <v>3210.2</v>
      </c>
      <c r="C425" s="54">
        <v>17248.400000000001</v>
      </c>
      <c r="D425" s="54">
        <f t="shared" si="18"/>
        <v>1.6359746023905566E-2</v>
      </c>
      <c r="E425" s="54">
        <f t="shared" si="19"/>
        <v>-1.5377008913403054E-2</v>
      </c>
      <c r="F425" s="55">
        <f t="shared" si="20"/>
        <v>2021</v>
      </c>
    </row>
    <row r="426" spans="1:6" x14ac:dyDescent="0.35">
      <c r="A426" s="69">
        <v>44547</v>
      </c>
      <c r="B426" s="54">
        <v>3263.15</v>
      </c>
      <c r="C426" s="54">
        <v>16985.2</v>
      </c>
      <c r="D426" s="54">
        <f t="shared" si="18"/>
        <v>-5.1887827363929273E-2</v>
      </c>
      <c r="E426" s="54">
        <f t="shared" si="19"/>
        <v>-2.208462525426377E-2</v>
      </c>
      <c r="F426" s="55">
        <f t="shared" si="20"/>
        <v>2021</v>
      </c>
    </row>
    <row r="427" spans="1:6" x14ac:dyDescent="0.35">
      <c r="A427" s="69">
        <v>44550</v>
      </c>
      <c r="B427" s="54">
        <v>3098.15</v>
      </c>
      <c r="C427" s="54">
        <v>16614.2</v>
      </c>
      <c r="D427" s="54">
        <f t="shared" si="18"/>
        <v>2.916839957912257E-3</v>
      </c>
      <c r="E427" s="54">
        <f t="shared" si="19"/>
        <v>9.3845089143681712E-3</v>
      </c>
      <c r="F427" s="55">
        <f t="shared" si="20"/>
        <v>2021</v>
      </c>
    </row>
    <row r="428" spans="1:6" x14ac:dyDescent="0.35">
      <c r="A428" s="69">
        <v>44551</v>
      </c>
      <c r="B428" s="54">
        <v>3107.2</v>
      </c>
      <c r="C428" s="54">
        <v>16770.849999999999</v>
      </c>
      <c r="D428" s="54">
        <f t="shared" si="18"/>
        <v>1.9757190994081162E-2</v>
      </c>
      <c r="E428" s="54">
        <f t="shared" si="19"/>
        <v>1.0947055769810723E-2</v>
      </c>
      <c r="F428" s="55">
        <f t="shared" si="20"/>
        <v>2021</v>
      </c>
    </row>
    <row r="429" spans="1:6" x14ac:dyDescent="0.35">
      <c r="A429" s="69">
        <v>44552</v>
      </c>
      <c r="B429" s="54">
        <v>3169.2</v>
      </c>
      <c r="C429" s="54">
        <v>16955.45</v>
      </c>
      <c r="D429" s="54">
        <f t="shared" si="18"/>
        <v>5.412562776347803E-3</v>
      </c>
      <c r="E429" s="54">
        <f t="shared" si="19"/>
        <v>6.885523140111989E-3</v>
      </c>
      <c r="F429" s="55">
        <f t="shared" si="20"/>
        <v>2021</v>
      </c>
    </row>
    <row r="430" spans="1:6" x14ac:dyDescent="0.35">
      <c r="A430" s="69">
        <v>44553</v>
      </c>
      <c r="B430" s="54">
        <v>3186.4</v>
      </c>
      <c r="C430" s="54">
        <v>17072.599999999999</v>
      </c>
      <c r="D430" s="54">
        <f t="shared" si="18"/>
        <v>9.8682956848941267E-3</v>
      </c>
      <c r="E430" s="54">
        <f t="shared" si="19"/>
        <v>-4.0409312434183352E-3</v>
      </c>
      <c r="F430" s="55">
        <f t="shared" si="20"/>
        <v>2021</v>
      </c>
    </row>
    <row r="431" spans="1:6" x14ac:dyDescent="0.35">
      <c r="A431" s="69">
        <v>44554</v>
      </c>
      <c r="B431" s="54">
        <v>3218</v>
      </c>
      <c r="C431" s="54">
        <v>17003.75</v>
      </c>
      <c r="D431" s="54">
        <f t="shared" si="18"/>
        <v>3.8304419270738074E-3</v>
      </c>
      <c r="E431" s="54">
        <f t="shared" si="19"/>
        <v>4.8401385192229909E-3</v>
      </c>
      <c r="F431" s="55">
        <f t="shared" si="20"/>
        <v>2021</v>
      </c>
    </row>
    <row r="432" spans="1:6" x14ac:dyDescent="0.35">
      <c r="A432" s="69">
        <v>44557</v>
      </c>
      <c r="B432" s="54">
        <v>3230.35</v>
      </c>
      <c r="C432" s="54">
        <v>17086.25</v>
      </c>
      <c r="D432" s="54">
        <f t="shared" si="18"/>
        <v>3.0336767435483521E-2</v>
      </c>
      <c r="E432" s="54">
        <f t="shared" si="19"/>
        <v>8.5666107599145849E-3</v>
      </c>
      <c r="F432" s="55">
        <f t="shared" si="20"/>
        <v>2021</v>
      </c>
    </row>
    <row r="433" spans="1:6" x14ac:dyDescent="0.35">
      <c r="A433" s="69">
        <v>44558</v>
      </c>
      <c r="B433" s="54">
        <v>3329.85</v>
      </c>
      <c r="C433" s="54">
        <v>17233.25</v>
      </c>
      <c r="D433" s="54">
        <f t="shared" si="18"/>
        <v>-5.96396291768662E-3</v>
      </c>
      <c r="E433" s="54">
        <f t="shared" si="19"/>
        <v>-1.1408881875360657E-3</v>
      </c>
      <c r="F433" s="55">
        <f t="shared" si="20"/>
        <v>2021</v>
      </c>
    </row>
    <row r="434" spans="1:6" x14ac:dyDescent="0.35">
      <c r="A434" s="69">
        <v>44559</v>
      </c>
      <c r="B434" s="54">
        <v>3310.05</v>
      </c>
      <c r="C434" s="54">
        <v>17213.599999999999</v>
      </c>
      <c r="D434" s="54">
        <f t="shared" si="18"/>
        <v>1.0682754677169668E-2</v>
      </c>
      <c r="E434" s="54">
        <f t="shared" si="19"/>
        <v>-5.6076044069777991E-4</v>
      </c>
      <c r="F434" s="55">
        <f t="shared" si="20"/>
        <v>2021</v>
      </c>
    </row>
    <row r="435" spans="1:6" x14ac:dyDescent="0.35">
      <c r="A435" s="69">
        <v>44560</v>
      </c>
      <c r="B435" s="54">
        <v>3345.6</v>
      </c>
      <c r="C435" s="54">
        <v>17203.95</v>
      </c>
      <c r="D435" s="54">
        <f t="shared" si="18"/>
        <v>1.515832236882797E-2</v>
      </c>
      <c r="E435" s="54">
        <f t="shared" si="19"/>
        <v>8.686899930872365E-3</v>
      </c>
      <c r="F435" s="55">
        <f t="shared" si="20"/>
        <v>2021</v>
      </c>
    </row>
    <row r="436" spans="1:6" x14ac:dyDescent="0.35">
      <c r="A436" s="69">
        <v>44561</v>
      </c>
      <c r="B436" s="54">
        <v>3396.7</v>
      </c>
      <c r="C436" s="54">
        <v>17354.05</v>
      </c>
      <c r="D436" s="54">
        <f t="shared" si="18"/>
        <v>7.6107327704004017E-3</v>
      </c>
      <c r="E436" s="54">
        <f t="shared" si="19"/>
        <v>1.5532155674438485E-2</v>
      </c>
      <c r="F436" s="55">
        <f t="shared" si="20"/>
        <v>2021</v>
      </c>
    </row>
    <row r="437" spans="1:6" x14ac:dyDescent="0.35">
      <c r="A437" s="69">
        <v>44564</v>
      </c>
      <c r="B437" s="54">
        <v>3422.65</v>
      </c>
      <c r="C437" s="54">
        <v>17625.7</v>
      </c>
      <c r="D437" s="54">
        <f t="shared" si="18"/>
        <v>-7.8462832234517787E-3</v>
      </c>
      <c r="E437" s="54">
        <f t="shared" si="19"/>
        <v>1.0135293409169081E-2</v>
      </c>
      <c r="F437" s="55">
        <f t="shared" si="20"/>
        <v>2022</v>
      </c>
    </row>
    <row r="438" spans="1:6" x14ac:dyDescent="0.35">
      <c r="A438" s="69">
        <v>44565</v>
      </c>
      <c r="B438" s="54">
        <v>3395.9</v>
      </c>
      <c r="C438" s="54">
        <v>17805.25</v>
      </c>
      <c r="D438" s="54">
        <f t="shared" si="18"/>
        <v>-2.4548699391497612E-2</v>
      </c>
      <c r="E438" s="54">
        <f t="shared" si="19"/>
        <v>6.7169757589339947E-3</v>
      </c>
      <c r="F438" s="55">
        <f t="shared" si="20"/>
        <v>2022</v>
      </c>
    </row>
    <row r="439" spans="1:6" x14ac:dyDescent="0.35">
      <c r="A439" s="69">
        <v>44566</v>
      </c>
      <c r="B439" s="54">
        <v>3313.55</v>
      </c>
      <c r="C439" s="54">
        <v>17925.25</v>
      </c>
      <c r="D439" s="54">
        <f t="shared" si="18"/>
        <v>-1.7167542331377589E-2</v>
      </c>
      <c r="E439" s="54">
        <f t="shared" si="19"/>
        <v>-1.0055830065243644E-2</v>
      </c>
      <c r="F439" s="55">
        <f t="shared" si="20"/>
        <v>2022</v>
      </c>
    </row>
    <row r="440" spans="1:6" x14ac:dyDescent="0.35">
      <c r="A440" s="69">
        <v>44567</v>
      </c>
      <c r="B440" s="54">
        <v>3257.15</v>
      </c>
      <c r="C440" s="54">
        <v>17745.900000000001</v>
      </c>
      <c r="D440" s="54">
        <f t="shared" si="18"/>
        <v>-5.2175235909526566E-3</v>
      </c>
      <c r="E440" s="54">
        <f t="shared" si="19"/>
        <v>3.7571827114337929E-3</v>
      </c>
      <c r="F440" s="55">
        <f t="shared" si="20"/>
        <v>2022</v>
      </c>
    </row>
    <row r="441" spans="1:6" x14ac:dyDescent="0.35">
      <c r="A441" s="69">
        <v>44568</v>
      </c>
      <c r="B441" s="54">
        <v>3240.2</v>
      </c>
      <c r="C441" s="54">
        <v>17812.7</v>
      </c>
      <c r="D441" s="54">
        <f t="shared" si="18"/>
        <v>-1.2187415547163006E-2</v>
      </c>
      <c r="E441" s="54">
        <f t="shared" si="19"/>
        <v>1.064338838998579E-2</v>
      </c>
      <c r="F441" s="55">
        <f t="shared" si="20"/>
        <v>2022</v>
      </c>
    </row>
    <row r="442" spans="1:6" x14ac:dyDescent="0.35">
      <c r="A442" s="69">
        <v>44571</v>
      </c>
      <c r="B442" s="54">
        <v>3200.95</v>
      </c>
      <c r="C442" s="54">
        <v>18003.3</v>
      </c>
      <c r="D442" s="54">
        <f t="shared" si="18"/>
        <v>2.0285881745991121E-3</v>
      </c>
      <c r="E442" s="54">
        <f t="shared" si="19"/>
        <v>2.9091191803581893E-3</v>
      </c>
      <c r="F442" s="55">
        <f t="shared" si="20"/>
        <v>2022</v>
      </c>
    </row>
    <row r="443" spans="1:6" x14ac:dyDescent="0.35">
      <c r="A443" s="69">
        <v>44572</v>
      </c>
      <c r="B443" s="54">
        <v>3207.45</v>
      </c>
      <c r="C443" s="54">
        <v>18055.75</v>
      </c>
      <c r="D443" s="54">
        <f t="shared" si="18"/>
        <v>3.1128914302406422E-3</v>
      </c>
      <c r="E443" s="54">
        <f t="shared" si="19"/>
        <v>8.6357417794735106E-3</v>
      </c>
      <c r="F443" s="55">
        <f t="shared" si="20"/>
        <v>2022</v>
      </c>
    </row>
    <row r="444" spans="1:6" x14ac:dyDescent="0.35">
      <c r="A444" s="69">
        <v>44573</v>
      </c>
      <c r="B444" s="54">
        <v>3217.45</v>
      </c>
      <c r="C444" s="54">
        <v>18212.349999999999</v>
      </c>
      <c r="D444" s="54">
        <f t="shared" si="18"/>
        <v>2.7119630555616357E-2</v>
      </c>
      <c r="E444" s="54">
        <f t="shared" si="19"/>
        <v>2.4924505947533245E-3</v>
      </c>
      <c r="F444" s="55">
        <f t="shared" si="20"/>
        <v>2022</v>
      </c>
    </row>
    <row r="445" spans="1:6" x14ac:dyDescent="0.35">
      <c r="A445" s="69">
        <v>44574</v>
      </c>
      <c r="B445" s="54">
        <v>3305.9</v>
      </c>
      <c r="C445" s="54">
        <v>18257.8</v>
      </c>
      <c r="D445" s="54">
        <f t="shared" si="18"/>
        <v>-1.2847229794464132E-2</v>
      </c>
      <c r="E445" s="54">
        <f t="shared" si="19"/>
        <v>-1.1228708258463262E-4</v>
      </c>
      <c r="F445" s="55">
        <f t="shared" si="20"/>
        <v>2022</v>
      </c>
    </row>
    <row r="446" spans="1:6" x14ac:dyDescent="0.35">
      <c r="A446" s="69">
        <v>44575</v>
      </c>
      <c r="B446" s="54">
        <v>3263.7</v>
      </c>
      <c r="C446" s="54">
        <v>18255.75</v>
      </c>
      <c r="D446" s="54">
        <f t="shared" si="18"/>
        <v>6.3985802461876502E-3</v>
      </c>
      <c r="E446" s="54">
        <f t="shared" si="19"/>
        <v>2.8634859715560308E-3</v>
      </c>
      <c r="F446" s="55">
        <f t="shared" si="20"/>
        <v>2022</v>
      </c>
    </row>
    <row r="447" spans="1:6" x14ac:dyDescent="0.35">
      <c r="A447" s="69">
        <v>44578</v>
      </c>
      <c r="B447" s="54">
        <v>3284.65</v>
      </c>
      <c r="C447" s="54">
        <v>18308.099999999999</v>
      </c>
      <c r="D447" s="54">
        <f t="shared" si="18"/>
        <v>-2.5640651382477449E-2</v>
      </c>
      <c r="E447" s="54">
        <f t="shared" si="19"/>
        <v>-1.0710911914286183E-2</v>
      </c>
      <c r="F447" s="55">
        <f t="shared" si="20"/>
        <v>2022</v>
      </c>
    </row>
    <row r="448" spans="1:6" x14ac:dyDescent="0.35">
      <c r="A448" s="69">
        <v>44579</v>
      </c>
      <c r="B448" s="54">
        <v>3201.5</v>
      </c>
      <c r="C448" s="54">
        <v>18113.05</v>
      </c>
      <c r="D448" s="54">
        <f t="shared" si="18"/>
        <v>-3.6014862541933784E-2</v>
      </c>
      <c r="E448" s="54">
        <f t="shared" si="19"/>
        <v>-9.6890064780822838E-3</v>
      </c>
      <c r="F448" s="55">
        <f t="shared" si="20"/>
        <v>2022</v>
      </c>
    </row>
    <row r="449" spans="1:6" x14ac:dyDescent="0.35">
      <c r="A449" s="69">
        <v>44580</v>
      </c>
      <c r="B449" s="54">
        <v>3088.25</v>
      </c>
      <c r="C449" s="54">
        <v>17938.400000000001</v>
      </c>
      <c r="D449" s="54">
        <f t="shared" si="18"/>
        <v>-1.2118793765050906E-2</v>
      </c>
      <c r="E449" s="54">
        <f t="shared" si="19"/>
        <v>-1.0163862100486327E-2</v>
      </c>
      <c r="F449" s="55">
        <f t="shared" si="20"/>
        <v>2022</v>
      </c>
    </row>
    <row r="450" spans="1:6" x14ac:dyDescent="0.35">
      <c r="A450" s="69">
        <v>44581</v>
      </c>
      <c r="B450" s="54">
        <v>3051.05</v>
      </c>
      <c r="C450" s="54">
        <v>17757</v>
      </c>
      <c r="D450" s="54">
        <f t="shared" ref="D450:D513" si="21">LN(B451/B450)</f>
        <v>-8.7069423352319972E-3</v>
      </c>
      <c r="E450" s="54">
        <f t="shared" ref="E450:E513" si="22">LN(C451/C450)</f>
        <v>-7.9069449649056857E-3</v>
      </c>
      <c r="F450" s="55">
        <f t="shared" ref="F450:F513" si="23">YEAR(A450)</f>
        <v>2022</v>
      </c>
    </row>
    <row r="451" spans="1:6" x14ac:dyDescent="0.35">
      <c r="A451" s="69">
        <v>44582</v>
      </c>
      <c r="B451" s="54">
        <v>3024.6</v>
      </c>
      <c r="C451" s="54">
        <v>17617.150000000001</v>
      </c>
      <c r="D451" s="54">
        <f t="shared" si="21"/>
        <v>-2.5872389785325658E-2</v>
      </c>
      <c r="E451" s="54">
        <f t="shared" si="22"/>
        <v>-2.6927165310979384E-2</v>
      </c>
      <c r="F451" s="55">
        <f t="shared" si="23"/>
        <v>2022</v>
      </c>
    </row>
    <row r="452" spans="1:6" x14ac:dyDescent="0.35">
      <c r="A452" s="69">
        <v>44585</v>
      </c>
      <c r="B452" s="54">
        <v>2947.35</v>
      </c>
      <c r="C452" s="54">
        <v>17149.099999999999</v>
      </c>
      <c r="D452" s="54">
        <f t="shared" si="21"/>
        <v>3.8243478336480431E-2</v>
      </c>
      <c r="E452" s="54">
        <f t="shared" si="22"/>
        <v>7.4854279782373646E-3</v>
      </c>
      <c r="F452" s="55">
        <f t="shared" si="23"/>
        <v>2022</v>
      </c>
    </row>
    <row r="453" spans="1:6" x14ac:dyDescent="0.35">
      <c r="A453" s="69">
        <v>44586</v>
      </c>
      <c r="B453" s="54">
        <v>3062.25</v>
      </c>
      <c r="C453" s="54">
        <v>17277.95</v>
      </c>
      <c r="D453" s="54">
        <f t="shared" si="21"/>
        <v>-4.278326016486779E-2</v>
      </c>
      <c r="E453" s="54">
        <f t="shared" si="22"/>
        <v>-9.7592674103367961E-3</v>
      </c>
      <c r="F453" s="55">
        <f t="shared" si="23"/>
        <v>2022</v>
      </c>
    </row>
    <row r="454" spans="1:6" x14ac:dyDescent="0.35">
      <c r="A454" s="69">
        <v>44588</v>
      </c>
      <c r="B454" s="54">
        <v>2934</v>
      </c>
      <c r="C454" s="54">
        <v>17110.150000000001</v>
      </c>
      <c r="D454" s="54">
        <f t="shared" si="21"/>
        <v>3.5260546024814494E-2</v>
      </c>
      <c r="E454" s="54">
        <f t="shared" si="22"/>
        <v>-4.7936257388604811E-4</v>
      </c>
      <c r="F454" s="55">
        <f t="shared" si="23"/>
        <v>2022</v>
      </c>
    </row>
    <row r="455" spans="1:6" x14ac:dyDescent="0.35">
      <c r="A455" s="69">
        <v>44589</v>
      </c>
      <c r="B455" s="54">
        <v>3039.3</v>
      </c>
      <c r="C455" s="54">
        <v>17101.95</v>
      </c>
      <c r="D455" s="54">
        <f t="shared" si="21"/>
        <v>2.1869464776007097E-2</v>
      </c>
      <c r="E455" s="54">
        <f t="shared" si="22"/>
        <v>1.3814828701121379E-2</v>
      </c>
      <c r="F455" s="55">
        <f t="shared" si="23"/>
        <v>2022</v>
      </c>
    </row>
    <row r="456" spans="1:6" x14ac:dyDescent="0.35">
      <c r="A456" s="69">
        <v>44592</v>
      </c>
      <c r="B456" s="54">
        <v>3106.5</v>
      </c>
      <c r="C456" s="54">
        <v>17339.849999999999</v>
      </c>
      <c r="D456" s="54">
        <f t="shared" si="21"/>
        <v>1.2937039286998287E-2</v>
      </c>
      <c r="E456" s="54">
        <f t="shared" si="22"/>
        <v>1.3575374518897244E-2</v>
      </c>
      <c r="F456" s="55">
        <f t="shared" si="23"/>
        <v>2022</v>
      </c>
    </row>
    <row r="457" spans="1:6" x14ac:dyDescent="0.35">
      <c r="A457" s="69">
        <v>44593</v>
      </c>
      <c r="B457" s="54">
        <v>3146.95</v>
      </c>
      <c r="C457" s="54">
        <v>17576.849999999999</v>
      </c>
      <c r="D457" s="54">
        <f t="shared" si="21"/>
        <v>-6.1358196533934598E-3</v>
      </c>
      <c r="E457" s="54">
        <f t="shared" si="22"/>
        <v>1.1491534770912802E-2</v>
      </c>
      <c r="F457" s="55">
        <f t="shared" si="23"/>
        <v>2022</v>
      </c>
    </row>
    <row r="458" spans="1:6" x14ac:dyDescent="0.35">
      <c r="A458" s="69">
        <v>44594</v>
      </c>
      <c r="B458" s="54">
        <v>3127.7</v>
      </c>
      <c r="C458" s="54">
        <v>17780</v>
      </c>
      <c r="D458" s="54">
        <f t="shared" si="21"/>
        <v>-3.7112759641972658E-2</v>
      </c>
      <c r="E458" s="54">
        <f t="shared" si="22"/>
        <v>-1.2439252422007897E-2</v>
      </c>
      <c r="F458" s="55">
        <f t="shared" si="23"/>
        <v>2022</v>
      </c>
    </row>
    <row r="459" spans="1:6" x14ac:dyDescent="0.35">
      <c r="A459" s="69">
        <v>44595</v>
      </c>
      <c r="B459" s="54">
        <v>3013.75</v>
      </c>
      <c r="C459" s="54">
        <v>17560.2</v>
      </c>
      <c r="D459" s="54">
        <f t="shared" si="21"/>
        <v>1.2562813601552513E-2</v>
      </c>
      <c r="E459" s="54">
        <f t="shared" si="22"/>
        <v>-2.5031016732770949E-3</v>
      </c>
      <c r="F459" s="55">
        <f t="shared" si="23"/>
        <v>2022</v>
      </c>
    </row>
    <row r="460" spans="1:6" x14ac:dyDescent="0.35">
      <c r="A460" s="69">
        <v>44596</v>
      </c>
      <c r="B460" s="54">
        <v>3051.85</v>
      </c>
      <c r="C460" s="54">
        <v>17516.3</v>
      </c>
      <c r="D460" s="54">
        <f t="shared" si="21"/>
        <v>-9.6967463496882636E-3</v>
      </c>
      <c r="E460" s="54">
        <f t="shared" si="22"/>
        <v>-1.7432106933369305E-2</v>
      </c>
      <c r="F460" s="55">
        <f t="shared" si="23"/>
        <v>2022</v>
      </c>
    </row>
    <row r="461" spans="1:6" x14ac:dyDescent="0.35">
      <c r="A461" s="69">
        <v>44599</v>
      </c>
      <c r="B461" s="54">
        <v>3022.4</v>
      </c>
      <c r="C461" s="54">
        <v>17213.599999999999</v>
      </c>
      <c r="D461" s="54">
        <f t="shared" si="21"/>
        <v>-1.3591148582196516E-2</v>
      </c>
      <c r="E461" s="54">
        <f t="shared" si="22"/>
        <v>3.0829177834033228E-3</v>
      </c>
      <c r="F461" s="55">
        <f t="shared" si="23"/>
        <v>2022</v>
      </c>
    </row>
    <row r="462" spans="1:6" x14ac:dyDescent="0.35">
      <c r="A462" s="69">
        <v>44600</v>
      </c>
      <c r="B462" s="54">
        <v>2981.6</v>
      </c>
      <c r="C462" s="54">
        <v>17266.75</v>
      </c>
      <c r="D462" s="54">
        <f t="shared" si="21"/>
        <v>1.618505518557271E-2</v>
      </c>
      <c r="E462" s="54">
        <f t="shared" si="22"/>
        <v>1.1347480211462859E-2</v>
      </c>
      <c r="F462" s="55">
        <f t="shared" si="23"/>
        <v>2022</v>
      </c>
    </row>
    <row r="463" spans="1:6" x14ac:dyDescent="0.35">
      <c r="A463" s="69">
        <v>44601</v>
      </c>
      <c r="B463" s="54">
        <v>3030.25</v>
      </c>
      <c r="C463" s="54">
        <v>17463.8</v>
      </c>
      <c r="D463" s="54">
        <f t="shared" si="21"/>
        <v>2.6025832170810573E-2</v>
      </c>
      <c r="E463" s="54">
        <f t="shared" si="22"/>
        <v>8.1010661276622389E-3</v>
      </c>
      <c r="F463" s="55">
        <f t="shared" si="23"/>
        <v>2022</v>
      </c>
    </row>
    <row r="464" spans="1:6" x14ac:dyDescent="0.35">
      <c r="A464" s="69">
        <v>44602</v>
      </c>
      <c r="B464" s="54">
        <v>3110.15</v>
      </c>
      <c r="C464" s="54">
        <v>17605.849999999999</v>
      </c>
      <c r="D464" s="54">
        <f t="shared" si="21"/>
        <v>-3.5542134630784775E-2</v>
      </c>
      <c r="E464" s="54">
        <f t="shared" si="22"/>
        <v>-1.3213230321500876E-2</v>
      </c>
      <c r="F464" s="55">
        <f t="shared" si="23"/>
        <v>2022</v>
      </c>
    </row>
    <row r="465" spans="1:6" x14ac:dyDescent="0.35">
      <c r="A465" s="69">
        <v>44603</v>
      </c>
      <c r="B465" s="54">
        <v>3001.55</v>
      </c>
      <c r="C465" s="54">
        <v>17374.75</v>
      </c>
      <c r="D465" s="54">
        <f t="shared" si="21"/>
        <v>-3.4435326444026464E-2</v>
      </c>
      <c r="E465" s="54">
        <f t="shared" si="22"/>
        <v>-3.1094737081558063E-2</v>
      </c>
      <c r="F465" s="55">
        <f t="shared" si="23"/>
        <v>2022</v>
      </c>
    </row>
    <row r="466" spans="1:6" x14ac:dyDescent="0.35">
      <c r="A466" s="69">
        <v>44606</v>
      </c>
      <c r="B466" s="54">
        <v>2899.95</v>
      </c>
      <c r="C466" s="54">
        <v>16842.8</v>
      </c>
      <c r="D466" s="54">
        <f t="shared" si="21"/>
        <v>3.1883389841555539E-2</v>
      </c>
      <c r="E466" s="54">
        <f t="shared" si="22"/>
        <v>2.9810441021687707E-2</v>
      </c>
      <c r="F466" s="55">
        <f t="shared" si="23"/>
        <v>2022</v>
      </c>
    </row>
    <row r="467" spans="1:6" x14ac:dyDescent="0.35">
      <c r="A467" s="69">
        <v>44607</v>
      </c>
      <c r="B467" s="54">
        <v>2993.9</v>
      </c>
      <c r="C467" s="54">
        <v>17352.45</v>
      </c>
      <c r="D467" s="54">
        <f t="shared" si="21"/>
        <v>-1.6547301468295365E-3</v>
      </c>
      <c r="E467" s="54">
        <f t="shared" si="22"/>
        <v>-1.7447909452098886E-3</v>
      </c>
      <c r="F467" s="55">
        <f t="shared" si="23"/>
        <v>2022</v>
      </c>
    </row>
    <row r="468" spans="1:6" x14ac:dyDescent="0.35">
      <c r="A468" s="69">
        <v>44608</v>
      </c>
      <c r="B468" s="54">
        <v>2988.95</v>
      </c>
      <c r="C468" s="54">
        <v>17322.2</v>
      </c>
      <c r="D468" s="54">
        <f t="shared" si="21"/>
        <v>6.8684107639579222E-3</v>
      </c>
      <c r="E468" s="54">
        <f t="shared" si="22"/>
        <v>-1.0165537396252585E-3</v>
      </c>
      <c r="F468" s="55">
        <f t="shared" si="23"/>
        <v>2022</v>
      </c>
    </row>
    <row r="469" spans="1:6" x14ac:dyDescent="0.35">
      <c r="A469" s="69">
        <v>44609</v>
      </c>
      <c r="B469" s="54">
        <v>3009.55</v>
      </c>
      <c r="C469" s="54">
        <v>17304.599999999999</v>
      </c>
      <c r="D469" s="54">
        <f t="shared" si="21"/>
        <v>4.1117524562888788E-3</v>
      </c>
      <c r="E469" s="54">
        <f t="shared" si="22"/>
        <v>-1.6367420349265715E-3</v>
      </c>
      <c r="F469" s="55">
        <f t="shared" si="23"/>
        <v>2022</v>
      </c>
    </row>
    <row r="470" spans="1:6" x14ac:dyDescent="0.35">
      <c r="A470" s="69">
        <v>44610</v>
      </c>
      <c r="B470" s="54">
        <v>3021.95</v>
      </c>
      <c r="C470" s="54">
        <v>17276.3</v>
      </c>
      <c r="D470" s="54">
        <f t="shared" si="21"/>
        <v>1.4112624049058622E-2</v>
      </c>
      <c r="E470" s="54">
        <f t="shared" si="22"/>
        <v>-4.0396830734258891E-3</v>
      </c>
      <c r="F470" s="55">
        <f t="shared" si="23"/>
        <v>2022</v>
      </c>
    </row>
    <row r="471" spans="1:6" x14ac:dyDescent="0.35">
      <c r="A471" s="69">
        <v>44613</v>
      </c>
      <c r="B471" s="54">
        <v>3064.9</v>
      </c>
      <c r="C471" s="54">
        <v>17206.650000000001</v>
      </c>
      <c r="D471" s="54">
        <f t="shared" si="21"/>
        <v>1.8570981004453705E-2</v>
      </c>
      <c r="E471" s="54">
        <f t="shared" si="22"/>
        <v>-6.6737179109929989E-3</v>
      </c>
      <c r="F471" s="55">
        <f t="shared" si="23"/>
        <v>2022</v>
      </c>
    </row>
    <row r="472" spans="1:6" x14ac:dyDescent="0.35">
      <c r="A472" s="69">
        <v>44614</v>
      </c>
      <c r="B472" s="54">
        <v>3122.35</v>
      </c>
      <c r="C472" s="54">
        <v>17092.2</v>
      </c>
      <c r="D472" s="54">
        <f t="shared" si="21"/>
        <v>-4.4777990800186074E-3</v>
      </c>
      <c r="E472" s="54">
        <f t="shared" si="22"/>
        <v>-1.6951910709848976E-3</v>
      </c>
      <c r="F472" s="55">
        <f t="shared" si="23"/>
        <v>2022</v>
      </c>
    </row>
    <row r="473" spans="1:6" x14ac:dyDescent="0.35">
      <c r="A473" s="69">
        <v>44615</v>
      </c>
      <c r="B473" s="54">
        <v>3108.4</v>
      </c>
      <c r="C473" s="54">
        <v>17063.25</v>
      </c>
      <c r="D473" s="54">
        <f t="shared" si="21"/>
        <v>-5.1642155427544703E-2</v>
      </c>
      <c r="E473" s="54">
        <f t="shared" si="22"/>
        <v>-4.8960281051569063E-2</v>
      </c>
      <c r="F473" s="55">
        <f t="shared" si="23"/>
        <v>2022</v>
      </c>
    </row>
    <row r="474" spans="1:6" x14ac:dyDescent="0.35">
      <c r="A474" s="69">
        <v>44616</v>
      </c>
      <c r="B474" s="54">
        <v>2951.95</v>
      </c>
      <c r="C474" s="54">
        <v>16247.95</v>
      </c>
      <c r="D474" s="54">
        <f t="shared" si="21"/>
        <v>3.2806760635811574E-2</v>
      </c>
      <c r="E474" s="54">
        <f t="shared" si="22"/>
        <v>2.4947846739819746E-2</v>
      </c>
      <c r="F474" s="55">
        <f t="shared" si="23"/>
        <v>2022</v>
      </c>
    </row>
    <row r="475" spans="1:6" x14ac:dyDescent="0.35">
      <c r="A475" s="69">
        <v>44617</v>
      </c>
      <c r="B475" s="54">
        <v>3050.4</v>
      </c>
      <c r="C475" s="54">
        <v>16658.400000000001</v>
      </c>
      <c r="D475" s="54">
        <f t="shared" si="21"/>
        <v>1.8931902810015843E-2</v>
      </c>
      <c r="E475" s="54">
        <f t="shared" si="22"/>
        <v>8.101131524734604E-3</v>
      </c>
      <c r="F475" s="55">
        <f t="shared" si="23"/>
        <v>2022</v>
      </c>
    </row>
    <row r="476" spans="1:6" x14ac:dyDescent="0.35">
      <c r="A476" s="69">
        <v>44620</v>
      </c>
      <c r="B476" s="54">
        <v>3108.7</v>
      </c>
      <c r="C476" s="54">
        <v>16793.900000000001</v>
      </c>
      <c r="D476" s="54">
        <f t="shared" si="21"/>
        <v>1.3086703181900982E-2</v>
      </c>
      <c r="E476" s="54">
        <f t="shared" si="22"/>
        <v>-1.1254660360669237E-2</v>
      </c>
      <c r="F476" s="55">
        <f t="shared" si="23"/>
        <v>2022</v>
      </c>
    </row>
    <row r="477" spans="1:6" x14ac:dyDescent="0.35">
      <c r="A477" s="69">
        <v>44622</v>
      </c>
      <c r="B477" s="54">
        <v>3149.65</v>
      </c>
      <c r="C477" s="54">
        <v>16605.95</v>
      </c>
      <c r="D477" s="54">
        <f t="shared" si="21"/>
        <v>-1.2548946502923444E-3</v>
      </c>
      <c r="E477" s="54">
        <f t="shared" si="22"/>
        <v>-6.5188727710802086E-3</v>
      </c>
      <c r="F477" s="55">
        <f t="shared" si="23"/>
        <v>2022</v>
      </c>
    </row>
    <row r="478" spans="1:6" x14ac:dyDescent="0.35">
      <c r="A478" s="69">
        <v>44623</v>
      </c>
      <c r="B478" s="54">
        <v>3145.7</v>
      </c>
      <c r="C478" s="54">
        <v>16498.05</v>
      </c>
      <c r="D478" s="54">
        <f t="shared" si="21"/>
        <v>1.3090659631242492E-2</v>
      </c>
      <c r="E478" s="54">
        <f t="shared" si="22"/>
        <v>-1.5435478124563093E-2</v>
      </c>
      <c r="F478" s="55">
        <f t="shared" si="23"/>
        <v>2022</v>
      </c>
    </row>
    <row r="479" spans="1:6" x14ac:dyDescent="0.35">
      <c r="A479" s="69">
        <v>44624</v>
      </c>
      <c r="B479" s="54">
        <v>3187.15</v>
      </c>
      <c r="C479" s="54">
        <v>16245.35</v>
      </c>
      <c r="D479" s="54">
        <f t="shared" si="21"/>
        <v>-1.9244917667757461E-2</v>
      </c>
      <c r="E479" s="54">
        <f t="shared" si="22"/>
        <v>-2.3807904631442889E-2</v>
      </c>
      <c r="F479" s="55">
        <f t="shared" si="23"/>
        <v>2022</v>
      </c>
    </row>
    <row r="480" spans="1:6" x14ac:dyDescent="0.35">
      <c r="A480" s="69">
        <v>44627</v>
      </c>
      <c r="B480" s="54">
        <v>3126.4</v>
      </c>
      <c r="C480" s="54">
        <v>15863.15</v>
      </c>
      <c r="D480" s="54">
        <f t="shared" si="21"/>
        <v>1.5519933203577141E-2</v>
      </c>
      <c r="E480" s="54">
        <f t="shared" si="22"/>
        <v>9.4301847641446827E-3</v>
      </c>
      <c r="F480" s="55">
        <f t="shared" si="23"/>
        <v>2022</v>
      </c>
    </row>
    <row r="481" spans="1:6" x14ac:dyDescent="0.35">
      <c r="A481" s="69">
        <v>44628</v>
      </c>
      <c r="B481" s="54">
        <v>3175.3</v>
      </c>
      <c r="C481" s="54">
        <v>16013.45</v>
      </c>
      <c r="D481" s="54">
        <f t="shared" si="21"/>
        <v>1.2254153890140193E-2</v>
      </c>
      <c r="E481" s="54">
        <f t="shared" si="22"/>
        <v>2.0514459110673795E-2</v>
      </c>
      <c r="F481" s="55">
        <f t="shared" si="23"/>
        <v>2022</v>
      </c>
    </row>
    <row r="482" spans="1:6" x14ac:dyDescent="0.35">
      <c r="A482" s="69">
        <v>44629</v>
      </c>
      <c r="B482" s="54">
        <v>3214.45</v>
      </c>
      <c r="C482" s="54">
        <v>16345.35</v>
      </c>
      <c r="D482" s="54">
        <f t="shared" si="21"/>
        <v>-3.9118863541519064E-3</v>
      </c>
      <c r="E482" s="54">
        <f t="shared" si="22"/>
        <v>1.5151966019218735E-2</v>
      </c>
      <c r="F482" s="55">
        <f t="shared" si="23"/>
        <v>2022</v>
      </c>
    </row>
    <row r="483" spans="1:6" x14ac:dyDescent="0.35">
      <c r="A483" s="69">
        <v>44630</v>
      </c>
      <c r="B483" s="54">
        <v>3201.9</v>
      </c>
      <c r="C483" s="54">
        <v>16594.900000000001</v>
      </c>
      <c r="D483" s="54">
        <f t="shared" si="21"/>
        <v>2.5896203409781701E-2</v>
      </c>
      <c r="E483" s="54">
        <f t="shared" si="22"/>
        <v>2.1399331273389121E-3</v>
      </c>
      <c r="F483" s="55">
        <f t="shared" si="23"/>
        <v>2022</v>
      </c>
    </row>
    <row r="484" spans="1:6" x14ac:dyDescent="0.35">
      <c r="A484" s="69">
        <v>44631</v>
      </c>
      <c r="B484" s="54">
        <v>3285.9</v>
      </c>
      <c r="C484" s="54">
        <v>16630.45</v>
      </c>
      <c r="D484" s="54">
        <f t="shared" si="21"/>
        <v>8.2588114618765175E-3</v>
      </c>
      <c r="E484" s="54">
        <f t="shared" si="22"/>
        <v>1.4378601088806696E-2</v>
      </c>
      <c r="F484" s="55">
        <f t="shared" si="23"/>
        <v>2022</v>
      </c>
    </row>
    <row r="485" spans="1:6" x14ac:dyDescent="0.35">
      <c r="A485" s="69">
        <v>44634</v>
      </c>
      <c r="B485" s="54">
        <v>3313.15</v>
      </c>
      <c r="C485" s="54">
        <v>16871.3</v>
      </c>
      <c r="D485" s="54">
        <f t="shared" si="21"/>
        <v>-3.8756610069408122E-2</v>
      </c>
      <c r="E485" s="54">
        <f t="shared" si="22"/>
        <v>-1.2423260902022252E-2</v>
      </c>
      <c r="F485" s="55">
        <f t="shared" si="23"/>
        <v>2022</v>
      </c>
    </row>
    <row r="486" spans="1:6" x14ac:dyDescent="0.35">
      <c r="A486" s="69">
        <v>44635</v>
      </c>
      <c r="B486" s="54">
        <v>3187.2</v>
      </c>
      <c r="C486" s="54">
        <v>16663</v>
      </c>
      <c r="D486" s="54">
        <f t="shared" si="21"/>
        <v>-2.8386046413465114E-2</v>
      </c>
      <c r="E486" s="54">
        <f t="shared" si="22"/>
        <v>1.8571599232414908E-2</v>
      </c>
      <c r="F486" s="55">
        <f t="shared" si="23"/>
        <v>2022</v>
      </c>
    </row>
    <row r="487" spans="1:6" x14ac:dyDescent="0.35">
      <c r="A487" s="69">
        <v>44636</v>
      </c>
      <c r="B487" s="54">
        <v>3098</v>
      </c>
      <c r="C487" s="54">
        <v>16975.349999999999</v>
      </c>
      <c r="D487" s="54">
        <f t="shared" si="21"/>
        <v>2.8687025104388274E-3</v>
      </c>
      <c r="E487" s="54">
        <f t="shared" si="22"/>
        <v>1.8195374494415762E-2</v>
      </c>
      <c r="F487" s="55">
        <f t="shared" si="23"/>
        <v>2022</v>
      </c>
    </row>
    <row r="488" spans="1:6" x14ac:dyDescent="0.35">
      <c r="A488" s="69">
        <v>44637</v>
      </c>
      <c r="B488" s="54">
        <v>3106.9</v>
      </c>
      <c r="C488" s="54">
        <v>17287.05</v>
      </c>
      <c r="D488" s="54">
        <f t="shared" si="21"/>
        <v>-9.6605919795119853E-4</v>
      </c>
      <c r="E488" s="54">
        <f t="shared" si="22"/>
        <v>-9.850492312713139E-3</v>
      </c>
      <c r="F488" s="55">
        <f t="shared" si="23"/>
        <v>2022</v>
      </c>
    </row>
    <row r="489" spans="1:6" x14ac:dyDescent="0.35">
      <c r="A489" s="69">
        <v>44641</v>
      </c>
      <c r="B489" s="54">
        <v>3103.9</v>
      </c>
      <c r="C489" s="54">
        <v>17117.599999999999</v>
      </c>
      <c r="D489" s="54">
        <f t="shared" si="21"/>
        <v>2.6310822948835463E-2</v>
      </c>
      <c r="E489" s="54">
        <f t="shared" si="22"/>
        <v>1.1494880163363386E-2</v>
      </c>
      <c r="F489" s="55">
        <f t="shared" si="23"/>
        <v>2022</v>
      </c>
    </row>
    <row r="490" spans="1:6" x14ac:dyDescent="0.35">
      <c r="A490" s="69">
        <v>44642</v>
      </c>
      <c r="B490" s="54">
        <v>3186.65</v>
      </c>
      <c r="C490" s="54">
        <v>17315.5</v>
      </c>
      <c r="D490" s="54">
        <f t="shared" si="21"/>
        <v>1.6880860752911828E-2</v>
      </c>
      <c r="E490" s="54">
        <f t="shared" si="22"/>
        <v>-4.0421163708296457E-3</v>
      </c>
      <c r="F490" s="55">
        <f t="shared" si="23"/>
        <v>2022</v>
      </c>
    </row>
    <row r="491" spans="1:6" x14ac:dyDescent="0.35">
      <c r="A491" s="69">
        <v>44643</v>
      </c>
      <c r="B491" s="54">
        <v>3240.9</v>
      </c>
      <c r="C491" s="54">
        <v>17245.650000000001</v>
      </c>
      <c r="D491" s="54">
        <f t="shared" si="21"/>
        <v>2.809673500451882E-2</v>
      </c>
      <c r="E491" s="54">
        <f t="shared" si="22"/>
        <v>-1.3287534883735959E-3</v>
      </c>
      <c r="F491" s="55">
        <f t="shared" si="23"/>
        <v>2022</v>
      </c>
    </row>
    <row r="492" spans="1:6" x14ac:dyDescent="0.35">
      <c r="A492" s="69">
        <v>44644</v>
      </c>
      <c r="B492" s="54">
        <v>3333.25</v>
      </c>
      <c r="C492" s="54">
        <v>17222.75</v>
      </c>
      <c r="D492" s="54">
        <f t="shared" si="21"/>
        <v>-1.6363561543057261E-2</v>
      </c>
      <c r="E492" s="54">
        <f t="shared" si="22"/>
        <v>-4.0580988470762082E-3</v>
      </c>
      <c r="F492" s="55">
        <f t="shared" si="23"/>
        <v>2022</v>
      </c>
    </row>
    <row r="493" spans="1:6" x14ac:dyDescent="0.35">
      <c r="A493" s="69">
        <v>44645</v>
      </c>
      <c r="B493" s="54">
        <v>3279.15</v>
      </c>
      <c r="C493" s="54">
        <v>17153</v>
      </c>
      <c r="D493" s="54">
        <f t="shared" si="21"/>
        <v>1.7832518847705699E-2</v>
      </c>
      <c r="E493" s="54">
        <f t="shared" si="22"/>
        <v>4.0145508462854406E-3</v>
      </c>
      <c r="F493" s="55">
        <f t="shared" si="23"/>
        <v>2022</v>
      </c>
    </row>
    <row r="494" spans="1:6" x14ac:dyDescent="0.35">
      <c r="A494" s="69">
        <v>44648</v>
      </c>
      <c r="B494" s="54">
        <v>3338.15</v>
      </c>
      <c r="C494" s="54">
        <v>17222</v>
      </c>
      <c r="D494" s="54">
        <f t="shared" si="21"/>
        <v>1.1881858615771221E-2</v>
      </c>
      <c r="E494" s="54">
        <f t="shared" si="22"/>
        <v>5.9802246693889541E-3</v>
      </c>
      <c r="F494" s="55">
        <f t="shared" si="23"/>
        <v>2022</v>
      </c>
    </row>
    <row r="495" spans="1:6" x14ac:dyDescent="0.35">
      <c r="A495" s="69">
        <v>44649</v>
      </c>
      <c r="B495" s="54">
        <v>3378.05</v>
      </c>
      <c r="C495" s="54">
        <v>17325.3</v>
      </c>
      <c r="D495" s="54">
        <f t="shared" si="21"/>
        <v>1.4970053546932769E-2</v>
      </c>
      <c r="E495" s="54">
        <f t="shared" si="22"/>
        <v>9.9330149857725092E-3</v>
      </c>
      <c r="F495" s="55">
        <f t="shared" si="23"/>
        <v>2022</v>
      </c>
    </row>
    <row r="496" spans="1:6" x14ac:dyDescent="0.35">
      <c r="A496" s="69">
        <v>44650</v>
      </c>
      <c r="B496" s="54">
        <v>3429</v>
      </c>
      <c r="C496" s="54">
        <v>17498.25</v>
      </c>
      <c r="D496" s="54">
        <f t="shared" si="21"/>
        <v>-1.5325351186460664E-2</v>
      </c>
      <c r="E496" s="54">
        <f t="shared" si="22"/>
        <v>-1.916312115762529E-3</v>
      </c>
      <c r="F496" s="55">
        <f t="shared" si="23"/>
        <v>2022</v>
      </c>
    </row>
    <row r="497" spans="1:6" x14ac:dyDescent="0.35">
      <c r="A497" s="69">
        <v>44651</v>
      </c>
      <c r="B497" s="54">
        <v>3376.85</v>
      </c>
      <c r="C497" s="54">
        <v>17464.75</v>
      </c>
      <c r="D497" s="54">
        <f t="shared" si="21"/>
        <v>-9.7606750305396523E-3</v>
      </c>
      <c r="E497" s="54">
        <f t="shared" si="22"/>
        <v>1.1709189086995933E-2</v>
      </c>
      <c r="F497" s="55">
        <f t="shared" si="23"/>
        <v>2022</v>
      </c>
    </row>
    <row r="498" spans="1:6" x14ac:dyDescent="0.35">
      <c r="A498" s="69">
        <v>44652</v>
      </c>
      <c r="B498" s="54">
        <v>3344.05</v>
      </c>
      <c r="C498" s="54">
        <v>17670.45</v>
      </c>
      <c r="D498" s="54">
        <f t="shared" si="21"/>
        <v>-9.4945504049857837E-3</v>
      </c>
      <c r="E498" s="54">
        <f t="shared" si="22"/>
        <v>2.144027979090949E-2</v>
      </c>
      <c r="F498" s="55">
        <f t="shared" si="23"/>
        <v>2022</v>
      </c>
    </row>
    <row r="499" spans="1:6" x14ac:dyDescent="0.35">
      <c r="A499" s="69">
        <v>44655</v>
      </c>
      <c r="B499" s="54">
        <v>3312.45</v>
      </c>
      <c r="C499" s="54">
        <v>18053.400000000001</v>
      </c>
      <c r="D499" s="54">
        <f t="shared" si="21"/>
        <v>1.7494386653774E-3</v>
      </c>
      <c r="E499" s="54">
        <f t="shared" si="22"/>
        <v>-5.3317464438475612E-3</v>
      </c>
      <c r="F499" s="55">
        <f t="shared" si="23"/>
        <v>2022</v>
      </c>
    </row>
    <row r="500" spans="1:6" x14ac:dyDescent="0.35">
      <c r="A500" s="69">
        <v>44656</v>
      </c>
      <c r="B500" s="54">
        <v>3318.25</v>
      </c>
      <c r="C500" s="54">
        <v>17957.400000000001</v>
      </c>
      <c r="D500" s="54">
        <f t="shared" si="21"/>
        <v>-3.6990098026809089E-2</v>
      </c>
      <c r="E500" s="54">
        <f t="shared" si="22"/>
        <v>-8.3741459954355391E-3</v>
      </c>
      <c r="F500" s="55">
        <f t="shared" si="23"/>
        <v>2022</v>
      </c>
    </row>
    <row r="501" spans="1:6" x14ac:dyDescent="0.35">
      <c r="A501" s="69">
        <v>44657</v>
      </c>
      <c r="B501" s="54">
        <v>3197.75</v>
      </c>
      <c r="C501" s="54">
        <v>17807.650000000001</v>
      </c>
      <c r="D501" s="54">
        <f t="shared" si="21"/>
        <v>-1.0294381901225983E-2</v>
      </c>
      <c r="E501" s="54">
        <f t="shared" si="22"/>
        <v>-9.4846002028219235E-3</v>
      </c>
      <c r="F501" s="55">
        <f t="shared" si="23"/>
        <v>2022</v>
      </c>
    </row>
    <row r="502" spans="1:6" x14ac:dyDescent="0.35">
      <c r="A502" s="69">
        <v>44658</v>
      </c>
      <c r="B502" s="54">
        <v>3165</v>
      </c>
      <c r="C502" s="54">
        <v>17639.55</v>
      </c>
      <c r="D502" s="54">
        <f t="shared" si="21"/>
        <v>-1.2171701509814457E-3</v>
      </c>
      <c r="E502" s="54">
        <f t="shared" si="22"/>
        <v>8.1753170308477494E-3</v>
      </c>
      <c r="F502" s="55">
        <f t="shared" si="23"/>
        <v>2022</v>
      </c>
    </row>
    <row r="503" spans="1:6" x14ac:dyDescent="0.35">
      <c r="A503" s="69">
        <v>44659</v>
      </c>
      <c r="B503" s="54">
        <v>3161.15</v>
      </c>
      <c r="C503" s="54">
        <v>17784.349999999999</v>
      </c>
      <c r="D503" s="54">
        <f t="shared" si="21"/>
        <v>-1.0158504616369596E-2</v>
      </c>
      <c r="E503" s="54">
        <f t="shared" si="22"/>
        <v>-6.1704741556992595E-3</v>
      </c>
      <c r="F503" s="55">
        <f t="shared" si="23"/>
        <v>2022</v>
      </c>
    </row>
    <row r="504" spans="1:6" x14ac:dyDescent="0.35">
      <c r="A504" s="69">
        <v>44662</v>
      </c>
      <c r="B504" s="54">
        <v>3129.2</v>
      </c>
      <c r="C504" s="54">
        <v>17674.95</v>
      </c>
      <c r="D504" s="54">
        <f t="shared" si="21"/>
        <v>-2.3245207308167887E-2</v>
      </c>
      <c r="E504" s="54">
        <f t="shared" si="22"/>
        <v>-8.217570617932296E-3</v>
      </c>
      <c r="F504" s="55">
        <f t="shared" si="23"/>
        <v>2022</v>
      </c>
    </row>
    <row r="505" spans="1:6" x14ac:dyDescent="0.35">
      <c r="A505" s="69">
        <v>44663</v>
      </c>
      <c r="B505" s="54">
        <v>3057.3</v>
      </c>
      <c r="C505" s="54">
        <v>17530.3</v>
      </c>
      <c r="D505" s="54">
        <f t="shared" si="21"/>
        <v>-2.128322212674112E-3</v>
      </c>
      <c r="E505" s="54">
        <f t="shared" si="22"/>
        <v>-3.1223288839913239E-3</v>
      </c>
      <c r="F505" s="55">
        <f t="shared" si="23"/>
        <v>2022</v>
      </c>
    </row>
    <row r="506" spans="1:6" x14ac:dyDescent="0.35">
      <c r="A506" s="69">
        <v>44664</v>
      </c>
      <c r="B506" s="54">
        <v>3050.8</v>
      </c>
      <c r="C506" s="54">
        <v>17475.650000000001</v>
      </c>
      <c r="D506" s="54">
        <f t="shared" si="21"/>
        <v>-5.764827998514447E-2</v>
      </c>
      <c r="E506" s="54">
        <f t="shared" si="22"/>
        <v>-1.7432251023419793E-2</v>
      </c>
      <c r="F506" s="55">
        <f t="shared" si="23"/>
        <v>2022</v>
      </c>
    </row>
    <row r="507" spans="1:6" x14ac:dyDescent="0.35">
      <c r="A507" s="69">
        <v>44669</v>
      </c>
      <c r="B507" s="54">
        <v>2879.9</v>
      </c>
      <c r="C507" s="54">
        <v>17173.650000000001</v>
      </c>
      <c r="D507" s="54">
        <f t="shared" si="21"/>
        <v>-7.9659473522607719E-3</v>
      </c>
      <c r="E507" s="54">
        <f t="shared" si="22"/>
        <v>-1.2598204259997624E-2</v>
      </c>
      <c r="F507" s="55">
        <f t="shared" si="23"/>
        <v>2022</v>
      </c>
    </row>
    <row r="508" spans="1:6" x14ac:dyDescent="0.35">
      <c r="A508" s="69">
        <v>44670</v>
      </c>
      <c r="B508" s="54">
        <v>2857.05</v>
      </c>
      <c r="C508" s="54">
        <v>16958.650000000001</v>
      </c>
      <c r="D508" s="54">
        <f t="shared" si="21"/>
        <v>1.0099161248386524E-2</v>
      </c>
      <c r="E508" s="54">
        <f t="shared" si="22"/>
        <v>1.0435581223143465E-2</v>
      </c>
      <c r="F508" s="55">
        <f t="shared" si="23"/>
        <v>2022</v>
      </c>
    </row>
    <row r="509" spans="1:6" x14ac:dyDescent="0.35">
      <c r="A509" s="69">
        <v>44671</v>
      </c>
      <c r="B509" s="54">
        <v>2886.05</v>
      </c>
      <c r="C509" s="54">
        <v>17136.55</v>
      </c>
      <c r="D509" s="54">
        <f t="shared" si="21"/>
        <v>5.0805390265898755E-3</v>
      </c>
      <c r="E509" s="54">
        <f t="shared" si="22"/>
        <v>1.4831219041721086E-2</v>
      </c>
      <c r="F509" s="55">
        <f t="shared" si="23"/>
        <v>2022</v>
      </c>
    </row>
    <row r="510" spans="1:6" x14ac:dyDescent="0.35">
      <c r="A510" s="69">
        <v>44672</v>
      </c>
      <c r="B510" s="54">
        <v>2900.75</v>
      </c>
      <c r="C510" s="54">
        <v>17392.599999999999</v>
      </c>
      <c r="D510" s="54">
        <f t="shared" si="21"/>
        <v>-1.6906466435957248E-3</v>
      </c>
      <c r="E510" s="54">
        <f t="shared" si="22"/>
        <v>-1.2767589762518079E-2</v>
      </c>
      <c r="F510" s="55">
        <f t="shared" si="23"/>
        <v>2022</v>
      </c>
    </row>
    <row r="511" spans="1:6" x14ac:dyDescent="0.35">
      <c r="A511" s="69">
        <v>44673</v>
      </c>
      <c r="B511" s="54">
        <v>2895.85</v>
      </c>
      <c r="C511" s="54">
        <v>17171.95</v>
      </c>
      <c r="D511" s="54">
        <f t="shared" si="21"/>
        <v>-3.5500239697968242E-2</v>
      </c>
      <c r="E511" s="54">
        <f t="shared" si="22"/>
        <v>-1.2776393616003143E-2</v>
      </c>
      <c r="F511" s="55">
        <f t="shared" si="23"/>
        <v>2022</v>
      </c>
    </row>
    <row r="512" spans="1:6" x14ac:dyDescent="0.35">
      <c r="A512" s="69">
        <v>44676</v>
      </c>
      <c r="B512" s="54">
        <v>2794.85</v>
      </c>
      <c r="C512" s="54">
        <v>16953.95</v>
      </c>
      <c r="D512" s="54">
        <f t="shared" si="21"/>
        <v>-9.834052303298849E-3</v>
      </c>
      <c r="E512" s="54">
        <f t="shared" si="22"/>
        <v>1.4455049340358107E-2</v>
      </c>
      <c r="F512" s="55">
        <f t="shared" si="23"/>
        <v>2022</v>
      </c>
    </row>
    <row r="513" spans="1:6" x14ac:dyDescent="0.35">
      <c r="A513" s="69">
        <v>44677</v>
      </c>
      <c r="B513" s="54">
        <v>2767.5</v>
      </c>
      <c r="C513" s="54">
        <v>17200.8</v>
      </c>
      <c r="D513" s="54">
        <f t="shared" si="21"/>
        <v>1.0853265451760342E-2</v>
      </c>
      <c r="E513" s="54">
        <f t="shared" si="22"/>
        <v>-9.4862740866997596E-3</v>
      </c>
      <c r="F513" s="55">
        <f t="shared" si="23"/>
        <v>2022</v>
      </c>
    </row>
    <row r="514" spans="1:6" x14ac:dyDescent="0.35">
      <c r="A514" s="69">
        <v>44678</v>
      </c>
      <c r="B514" s="54">
        <v>2797.7</v>
      </c>
      <c r="C514" s="54">
        <v>17038.400000000001</v>
      </c>
      <c r="D514" s="54">
        <f t="shared" ref="D514:D577" si="24">LN(B515/B514)</f>
        <v>1.2509493828598717E-4</v>
      </c>
      <c r="E514" s="54">
        <f t="shared" ref="E514:E577" si="25">LN(C515/C514)</f>
        <v>1.2055525496746364E-2</v>
      </c>
      <c r="F514" s="55">
        <f t="shared" ref="F514:F577" si="26">YEAR(A514)</f>
        <v>2022</v>
      </c>
    </row>
    <row r="515" spans="1:6" x14ac:dyDescent="0.35">
      <c r="A515" s="69">
        <v>44679</v>
      </c>
      <c r="B515" s="54">
        <v>2798.05</v>
      </c>
      <c r="C515" s="54">
        <v>17245.05</v>
      </c>
      <c r="D515" s="54">
        <f t="shared" si="24"/>
        <v>1.6007432427548752E-2</v>
      </c>
      <c r="E515" s="54">
        <f t="shared" si="25"/>
        <v>-8.297570577797668E-3</v>
      </c>
      <c r="F515" s="55">
        <f t="shared" si="26"/>
        <v>2022</v>
      </c>
    </row>
    <row r="516" spans="1:6" x14ac:dyDescent="0.35">
      <c r="A516" s="69">
        <v>44680</v>
      </c>
      <c r="B516" s="54">
        <v>2843.2</v>
      </c>
      <c r="C516" s="54">
        <v>17102.55</v>
      </c>
      <c r="D516" s="54">
        <f t="shared" si="24"/>
        <v>-3.6935762333881544E-2</v>
      </c>
      <c r="E516" s="54">
        <f t="shared" si="25"/>
        <v>-1.957763858873641E-3</v>
      </c>
      <c r="F516" s="55">
        <f t="shared" si="26"/>
        <v>2022</v>
      </c>
    </row>
    <row r="517" spans="1:6" x14ac:dyDescent="0.35">
      <c r="A517" s="69">
        <v>44683</v>
      </c>
      <c r="B517" s="54">
        <v>2740.1</v>
      </c>
      <c r="C517" s="54">
        <v>17069.099999999999</v>
      </c>
      <c r="D517" s="54">
        <f t="shared" si="24"/>
        <v>-2.0760715399647803E-2</v>
      </c>
      <c r="E517" s="54">
        <f t="shared" si="25"/>
        <v>-2.3203309652967317E-2</v>
      </c>
      <c r="F517" s="55">
        <f t="shared" si="26"/>
        <v>2022</v>
      </c>
    </row>
    <row r="518" spans="1:6" x14ac:dyDescent="0.35">
      <c r="A518" s="69">
        <v>44685</v>
      </c>
      <c r="B518" s="54">
        <v>2683.8</v>
      </c>
      <c r="C518" s="54">
        <v>16677.599999999999</v>
      </c>
      <c r="D518" s="54">
        <f t="shared" si="24"/>
        <v>3.4778115564227008E-3</v>
      </c>
      <c r="E518" s="54">
        <f t="shared" si="25"/>
        <v>3.0275552722641301E-4</v>
      </c>
      <c r="F518" s="55">
        <f t="shared" si="26"/>
        <v>2022</v>
      </c>
    </row>
    <row r="519" spans="1:6" x14ac:dyDescent="0.35">
      <c r="A519" s="69">
        <v>44686</v>
      </c>
      <c r="B519" s="54">
        <v>2693.15</v>
      </c>
      <c r="C519" s="54">
        <v>16682.650000000001</v>
      </c>
      <c r="D519" s="54">
        <f t="shared" si="24"/>
        <v>3.3412533723377948E-4</v>
      </c>
      <c r="E519" s="54">
        <f t="shared" si="25"/>
        <v>-1.6402181947133422E-2</v>
      </c>
      <c r="F519" s="55">
        <f t="shared" si="26"/>
        <v>2022</v>
      </c>
    </row>
    <row r="520" spans="1:6" x14ac:dyDescent="0.35">
      <c r="A520" s="69">
        <v>44687</v>
      </c>
      <c r="B520" s="54">
        <v>2694.05</v>
      </c>
      <c r="C520" s="54">
        <v>16411.25</v>
      </c>
      <c r="D520" s="54">
        <f t="shared" si="24"/>
        <v>-1.9679771496257107E-2</v>
      </c>
      <c r="E520" s="54">
        <f t="shared" si="25"/>
        <v>-6.688476961240644E-3</v>
      </c>
      <c r="F520" s="55">
        <f t="shared" si="26"/>
        <v>2022</v>
      </c>
    </row>
    <row r="521" spans="1:6" x14ac:dyDescent="0.35">
      <c r="A521" s="69">
        <v>44690</v>
      </c>
      <c r="B521" s="54">
        <v>2641.55</v>
      </c>
      <c r="C521" s="54">
        <v>16301.85</v>
      </c>
      <c r="D521" s="54">
        <f t="shared" si="24"/>
        <v>3.3824353636036516E-3</v>
      </c>
      <c r="E521" s="54">
        <f t="shared" si="25"/>
        <v>-3.798184758416227E-3</v>
      </c>
      <c r="F521" s="55">
        <f t="shared" si="26"/>
        <v>2022</v>
      </c>
    </row>
    <row r="522" spans="1:6" x14ac:dyDescent="0.35">
      <c r="A522" s="69">
        <v>44691</v>
      </c>
      <c r="B522" s="54">
        <v>2650.5</v>
      </c>
      <c r="C522" s="54">
        <v>16240.05</v>
      </c>
      <c r="D522" s="54">
        <f t="shared" si="24"/>
        <v>-8.7345073535362184E-3</v>
      </c>
      <c r="E522" s="54">
        <f t="shared" si="25"/>
        <v>-4.5021005067112096E-3</v>
      </c>
      <c r="F522" s="55">
        <f t="shared" si="26"/>
        <v>2022</v>
      </c>
    </row>
    <row r="523" spans="1:6" x14ac:dyDescent="0.35">
      <c r="A523" s="69">
        <v>44692</v>
      </c>
      <c r="B523" s="54">
        <v>2627.45</v>
      </c>
      <c r="C523" s="54">
        <v>16167.1</v>
      </c>
      <c r="D523" s="54">
        <f t="shared" si="24"/>
        <v>-4.4675820996519247E-2</v>
      </c>
      <c r="E523" s="54">
        <f t="shared" si="25"/>
        <v>-2.2462172034303025E-2</v>
      </c>
      <c r="F523" s="55">
        <f t="shared" si="26"/>
        <v>2022</v>
      </c>
    </row>
    <row r="524" spans="1:6" x14ac:dyDescent="0.35">
      <c r="A524" s="69">
        <v>44693</v>
      </c>
      <c r="B524" s="54">
        <v>2512.65</v>
      </c>
      <c r="C524" s="54">
        <v>15808</v>
      </c>
      <c r="D524" s="54">
        <f t="shared" si="24"/>
        <v>-2.7824688911501836E-2</v>
      </c>
      <c r="E524" s="54">
        <f t="shared" si="25"/>
        <v>-1.6365864530401846E-3</v>
      </c>
      <c r="F524" s="55">
        <f t="shared" si="26"/>
        <v>2022</v>
      </c>
    </row>
    <row r="525" spans="1:6" x14ac:dyDescent="0.35">
      <c r="A525" s="69">
        <v>44694</v>
      </c>
      <c r="B525" s="54">
        <v>2443.6999999999998</v>
      </c>
      <c r="C525" s="54">
        <v>15782.15</v>
      </c>
      <c r="D525" s="54">
        <f t="shared" si="24"/>
        <v>1.3898143083393362E-2</v>
      </c>
      <c r="E525" s="54">
        <f t="shared" si="25"/>
        <v>3.8040233132169052E-3</v>
      </c>
      <c r="F525" s="55">
        <f t="shared" si="26"/>
        <v>2022</v>
      </c>
    </row>
    <row r="526" spans="1:6" x14ac:dyDescent="0.35">
      <c r="A526" s="69">
        <v>44697</v>
      </c>
      <c r="B526" s="54">
        <v>2477.9</v>
      </c>
      <c r="C526" s="54">
        <v>15842.3</v>
      </c>
      <c r="D526" s="54">
        <f t="shared" si="24"/>
        <v>3.8321595206552941E-2</v>
      </c>
      <c r="E526" s="54">
        <f t="shared" si="25"/>
        <v>2.5981474896775072E-2</v>
      </c>
      <c r="F526" s="55">
        <f t="shared" si="26"/>
        <v>2022</v>
      </c>
    </row>
    <row r="527" spans="1:6" x14ac:dyDescent="0.35">
      <c r="A527" s="69">
        <v>44698</v>
      </c>
      <c r="B527" s="54">
        <v>2574.6999999999998</v>
      </c>
      <c r="C527" s="54">
        <v>16259.3</v>
      </c>
      <c r="D527" s="54">
        <f t="shared" si="24"/>
        <v>2.6238365226599621E-2</v>
      </c>
      <c r="E527" s="54">
        <f t="shared" si="25"/>
        <v>-1.1692452931500745E-3</v>
      </c>
      <c r="F527" s="55">
        <f t="shared" si="26"/>
        <v>2022</v>
      </c>
    </row>
    <row r="528" spans="1:6" x14ac:dyDescent="0.35">
      <c r="A528" s="69">
        <v>44699</v>
      </c>
      <c r="B528" s="54">
        <v>2643.15</v>
      </c>
      <c r="C528" s="54">
        <v>16240.3</v>
      </c>
      <c r="D528" s="54">
        <f t="shared" si="24"/>
        <v>-7.2765778884370746E-2</v>
      </c>
      <c r="E528" s="54">
        <f t="shared" si="25"/>
        <v>-2.689110763221448E-2</v>
      </c>
      <c r="F528" s="55">
        <f t="shared" si="26"/>
        <v>2022</v>
      </c>
    </row>
    <row r="529" spans="1:6" x14ac:dyDescent="0.35">
      <c r="A529" s="69">
        <v>44700</v>
      </c>
      <c r="B529" s="54">
        <v>2457.65</v>
      </c>
      <c r="C529" s="54">
        <v>15809.4</v>
      </c>
      <c r="D529" s="54">
        <f t="shared" si="24"/>
        <v>5.6948767988155582E-4</v>
      </c>
      <c r="E529" s="54">
        <f t="shared" si="25"/>
        <v>2.8481561554378136E-2</v>
      </c>
      <c r="F529" s="55">
        <f t="shared" si="26"/>
        <v>2022</v>
      </c>
    </row>
    <row r="530" spans="1:6" x14ac:dyDescent="0.35">
      <c r="A530" s="69">
        <v>44701</v>
      </c>
      <c r="B530" s="54">
        <v>2459.0500000000002</v>
      </c>
      <c r="C530" s="54">
        <v>16266.15</v>
      </c>
      <c r="D530" s="54">
        <f t="shared" si="24"/>
        <v>2.4523486779460018E-2</v>
      </c>
      <c r="E530" s="54">
        <f t="shared" si="25"/>
        <v>-3.168023190952943E-3</v>
      </c>
      <c r="F530" s="55">
        <f t="shared" si="26"/>
        <v>2022</v>
      </c>
    </row>
    <row r="531" spans="1:6" x14ac:dyDescent="0.35">
      <c r="A531" s="69">
        <v>44704</v>
      </c>
      <c r="B531" s="54">
        <v>2520.1</v>
      </c>
      <c r="C531" s="54">
        <v>16214.7</v>
      </c>
      <c r="D531" s="54">
        <f t="shared" si="24"/>
        <v>-1.2558188500346281E-2</v>
      </c>
      <c r="E531" s="54">
        <f t="shared" si="25"/>
        <v>-5.5380732363732666E-3</v>
      </c>
      <c r="F531" s="55">
        <f t="shared" si="26"/>
        <v>2022</v>
      </c>
    </row>
    <row r="532" spans="1:6" x14ac:dyDescent="0.35">
      <c r="A532" s="69">
        <v>44705</v>
      </c>
      <c r="B532" s="54">
        <v>2488.65</v>
      </c>
      <c r="C532" s="54">
        <v>16125.15</v>
      </c>
      <c r="D532" s="54">
        <f t="shared" si="24"/>
        <v>-5.9604257747884165E-2</v>
      </c>
      <c r="E532" s="54">
        <f t="shared" si="25"/>
        <v>-6.1802414065991011E-3</v>
      </c>
      <c r="F532" s="55">
        <f t="shared" si="26"/>
        <v>2022</v>
      </c>
    </row>
    <row r="533" spans="1:6" x14ac:dyDescent="0.35">
      <c r="A533" s="69">
        <v>44706</v>
      </c>
      <c r="B533" s="54">
        <v>2344.65</v>
      </c>
      <c r="C533" s="54">
        <v>16025.8</v>
      </c>
      <c r="D533" s="54">
        <f t="shared" si="24"/>
        <v>2.2936688630420164E-2</v>
      </c>
      <c r="E533" s="54">
        <f t="shared" si="25"/>
        <v>8.9670264262852635E-3</v>
      </c>
      <c r="F533" s="55">
        <f t="shared" si="26"/>
        <v>2022</v>
      </c>
    </row>
    <row r="534" spans="1:6" x14ac:dyDescent="0.35">
      <c r="A534" s="69">
        <v>44707</v>
      </c>
      <c r="B534" s="54">
        <v>2399.0500000000002</v>
      </c>
      <c r="C534" s="54">
        <v>16170.15</v>
      </c>
      <c r="D534" s="54">
        <f t="shared" si="24"/>
        <v>3.4857723063599473E-2</v>
      </c>
      <c r="E534" s="54">
        <f t="shared" si="25"/>
        <v>1.1210783228271726E-2</v>
      </c>
      <c r="F534" s="55">
        <f t="shared" si="26"/>
        <v>2022</v>
      </c>
    </row>
    <row r="535" spans="1:6" x14ac:dyDescent="0.35">
      <c r="A535" s="69">
        <v>44708</v>
      </c>
      <c r="B535" s="54">
        <v>2484.15</v>
      </c>
      <c r="C535" s="54">
        <v>16352.45</v>
      </c>
      <c r="D535" s="54">
        <f t="shared" si="24"/>
        <v>4.0452383320451625E-2</v>
      </c>
      <c r="E535" s="54">
        <f t="shared" si="25"/>
        <v>1.8716933609406666E-2</v>
      </c>
      <c r="F535" s="55">
        <f t="shared" si="26"/>
        <v>2022</v>
      </c>
    </row>
    <row r="536" spans="1:6" x14ac:dyDescent="0.35">
      <c r="A536" s="69">
        <v>44711</v>
      </c>
      <c r="B536" s="54">
        <v>2586.6999999999998</v>
      </c>
      <c r="C536" s="54">
        <v>16661.400000000001</v>
      </c>
      <c r="D536" s="54">
        <f t="shared" si="24"/>
        <v>2.6446615482040615E-3</v>
      </c>
      <c r="E536" s="54">
        <f t="shared" si="25"/>
        <v>-4.6231277420674408E-3</v>
      </c>
      <c r="F536" s="55">
        <f t="shared" si="26"/>
        <v>2022</v>
      </c>
    </row>
    <row r="537" spans="1:6" x14ac:dyDescent="0.35">
      <c r="A537" s="69">
        <v>44712</v>
      </c>
      <c r="B537" s="54">
        <v>2593.5500000000002</v>
      </c>
      <c r="C537" s="54">
        <v>16584.55</v>
      </c>
      <c r="D537" s="54">
        <f t="shared" si="24"/>
        <v>-2.5025705787962198E-2</v>
      </c>
      <c r="E537" s="54">
        <f t="shared" si="25"/>
        <v>-3.7333199493177205E-3</v>
      </c>
      <c r="F537" s="55">
        <f t="shared" si="26"/>
        <v>2022</v>
      </c>
    </row>
    <row r="538" spans="1:6" x14ac:dyDescent="0.35">
      <c r="A538" s="69">
        <v>44713</v>
      </c>
      <c r="B538" s="54">
        <v>2529.4499999999998</v>
      </c>
      <c r="C538" s="54">
        <v>16522.75</v>
      </c>
      <c r="D538" s="54">
        <f t="shared" si="24"/>
        <v>2.153017785179067E-2</v>
      </c>
      <c r="E538" s="54">
        <f t="shared" si="25"/>
        <v>6.3498022602603054E-3</v>
      </c>
      <c r="F538" s="55">
        <f t="shared" si="26"/>
        <v>2022</v>
      </c>
    </row>
    <row r="539" spans="1:6" x14ac:dyDescent="0.35">
      <c r="A539" s="69">
        <v>44714</v>
      </c>
      <c r="B539" s="54">
        <v>2584.5</v>
      </c>
      <c r="C539" s="54">
        <v>16628</v>
      </c>
      <c r="D539" s="54">
        <f t="shared" si="24"/>
        <v>-6.3852096108035607E-3</v>
      </c>
      <c r="E539" s="54">
        <f t="shared" si="25"/>
        <v>-2.6315566954934781E-3</v>
      </c>
      <c r="F539" s="55">
        <f t="shared" si="26"/>
        <v>2022</v>
      </c>
    </row>
    <row r="540" spans="1:6" x14ac:dyDescent="0.35">
      <c r="A540" s="69">
        <v>44715</v>
      </c>
      <c r="B540" s="54">
        <v>2568.0500000000002</v>
      </c>
      <c r="C540" s="54">
        <v>16584.3</v>
      </c>
      <c r="D540" s="54">
        <f t="shared" si="24"/>
        <v>-1.173108642392965E-2</v>
      </c>
      <c r="E540" s="54">
        <f t="shared" si="25"/>
        <v>-8.8979113877667301E-4</v>
      </c>
      <c r="F540" s="55">
        <f t="shared" si="26"/>
        <v>2022</v>
      </c>
    </row>
    <row r="541" spans="1:6" x14ac:dyDescent="0.35">
      <c r="A541" s="69">
        <v>44718</v>
      </c>
      <c r="B541" s="54">
        <v>2538.1</v>
      </c>
      <c r="C541" s="54">
        <v>16569.55</v>
      </c>
      <c r="D541" s="54">
        <f t="shared" si="24"/>
        <v>-1.2528411897802669E-2</v>
      </c>
      <c r="E541" s="54">
        <f t="shared" si="25"/>
        <v>-9.2888841322758733E-3</v>
      </c>
      <c r="F541" s="55">
        <f t="shared" si="26"/>
        <v>2022</v>
      </c>
    </row>
    <row r="542" spans="1:6" x14ac:dyDescent="0.35">
      <c r="A542" s="69">
        <v>44719</v>
      </c>
      <c r="B542" s="54">
        <v>2506.5</v>
      </c>
      <c r="C542" s="54">
        <v>16416.349999999999</v>
      </c>
      <c r="D542" s="54">
        <f t="shared" si="24"/>
        <v>6.3234715272929409E-3</v>
      </c>
      <c r="E542" s="54">
        <f t="shared" si="25"/>
        <v>-3.6677021275259834E-3</v>
      </c>
      <c r="F542" s="55">
        <f t="shared" si="26"/>
        <v>2022</v>
      </c>
    </row>
    <row r="543" spans="1:6" x14ac:dyDescent="0.35">
      <c r="A543" s="69">
        <v>44720</v>
      </c>
      <c r="B543" s="54">
        <v>2522.4</v>
      </c>
      <c r="C543" s="54">
        <v>16356.25</v>
      </c>
      <c r="D543" s="54">
        <f t="shared" si="24"/>
        <v>2.7546827582101325E-2</v>
      </c>
      <c r="E543" s="54">
        <f t="shared" si="25"/>
        <v>7.4221392763222718E-3</v>
      </c>
      <c r="F543" s="55">
        <f t="shared" si="26"/>
        <v>2022</v>
      </c>
    </row>
    <row r="544" spans="1:6" x14ac:dyDescent="0.35">
      <c r="A544" s="69">
        <v>44721</v>
      </c>
      <c r="B544" s="54">
        <v>2592.85</v>
      </c>
      <c r="C544" s="54">
        <v>16478.099999999999</v>
      </c>
      <c r="D544" s="54">
        <f t="shared" si="24"/>
        <v>-3.3331844461187601E-2</v>
      </c>
      <c r="E544" s="54">
        <f t="shared" si="25"/>
        <v>-1.6909879395574055E-2</v>
      </c>
      <c r="F544" s="55">
        <f t="shared" si="26"/>
        <v>2022</v>
      </c>
    </row>
    <row r="545" spans="1:6" x14ac:dyDescent="0.35">
      <c r="A545" s="69">
        <v>44722</v>
      </c>
      <c r="B545" s="54">
        <v>2507.85</v>
      </c>
      <c r="C545" s="54">
        <v>16201.8</v>
      </c>
      <c r="D545" s="54">
        <f t="shared" si="24"/>
        <v>-5.8605508021547584E-2</v>
      </c>
      <c r="E545" s="54">
        <f t="shared" si="25"/>
        <v>-2.6733974338427311E-2</v>
      </c>
      <c r="F545" s="55">
        <f t="shared" si="26"/>
        <v>2022</v>
      </c>
    </row>
    <row r="546" spans="1:6" x14ac:dyDescent="0.35">
      <c r="A546" s="69">
        <v>44725</v>
      </c>
      <c r="B546" s="54">
        <v>2365.1</v>
      </c>
      <c r="C546" s="54">
        <v>15774.4</v>
      </c>
      <c r="D546" s="54">
        <f t="shared" si="24"/>
        <v>-2.515411604781197E-2</v>
      </c>
      <c r="E546" s="54">
        <f t="shared" si="25"/>
        <v>-2.6851618183916293E-3</v>
      </c>
      <c r="F546" s="55">
        <f t="shared" si="26"/>
        <v>2022</v>
      </c>
    </row>
    <row r="547" spans="1:6" x14ac:dyDescent="0.35">
      <c r="A547" s="69">
        <v>44726</v>
      </c>
      <c r="B547" s="54">
        <v>2306.35</v>
      </c>
      <c r="C547" s="54">
        <v>15732.1</v>
      </c>
      <c r="D547" s="54">
        <f t="shared" si="24"/>
        <v>1.3950410305894107E-2</v>
      </c>
      <c r="E547" s="54">
        <f t="shared" si="25"/>
        <v>-2.5426237076681558E-3</v>
      </c>
      <c r="F547" s="55">
        <f t="shared" si="26"/>
        <v>2022</v>
      </c>
    </row>
    <row r="548" spans="1:6" x14ac:dyDescent="0.35">
      <c r="A548" s="69">
        <v>44727</v>
      </c>
      <c r="B548" s="54">
        <v>2338.75</v>
      </c>
      <c r="C548" s="54">
        <v>15692.15</v>
      </c>
      <c r="D548" s="54">
        <f t="shared" si="24"/>
        <v>-1.2867033531530372E-2</v>
      </c>
      <c r="E548" s="54">
        <f t="shared" si="25"/>
        <v>-2.135479785597345E-2</v>
      </c>
      <c r="F548" s="55">
        <f t="shared" si="26"/>
        <v>2022</v>
      </c>
    </row>
    <row r="549" spans="1:6" x14ac:dyDescent="0.35">
      <c r="A549" s="69">
        <v>44728</v>
      </c>
      <c r="B549" s="54">
        <v>2308.85</v>
      </c>
      <c r="C549" s="54">
        <v>15360.6</v>
      </c>
      <c r="D549" s="54">
        <f t="shared" si="24"/>
        <v>-5.1410698525212344E-2</v>
      </c>
      <c r="E549" s="54">
        <f t="shared" si="25"/>
        <v>-4.3778879281600415E-3</v>
      </c>
      <c r="F549" s="55">
        <f t="shared" si="26"/>
        <v>2022</v>
      </c>
    </row>
    <row r="550" spans="1:6" x14ac:dyDescent="0.35">
      <c r="A550" s="69">
        <v>44729</v>
      </c>
      <c r="B550" s="54">
        <v>2193.15</v>
      </c>
      <c r="C550" s="54">
        <v>15293.5</v>
      </c>
      <c r="D550" s="54">
        <f t="shared" si="24"/>
        <v>-6.4498645445543717E-3</v>
      </c>
      <c r="E550" s="54">
        <f t="shared" si="25"/>
        <v>3.6973444439847482E-3</v>
      </c>
      <c r="F550" s="55">
        <f t="shared" si="26"/>
        <v>2022</v>
      </c>
    </row>
    <row r="551" spans="1:6" x14ac:dyDescent="0.35">
      <c r="A551" s="69">
        <v>44732</v>
      </c>
      <c r="B551" s="54">
        <v>2179.0500000000002</v>
      </c>
      <c r="C551" s="54">
        <v>15350.15</v>
      </c>
      <c r="D551" s="54">
        <f t="shared" si="24"/>
        <v>4.754266570095346E-2</v>
      </c>
      <c r="E551" s="54">
        <f t="shared" si="25"/>
        <v>1.86297598584063E-2</v>
      </c>
      <c r="F551" s="55">
        <f t="shared" si="26"/>
        <v>2022</v>
      </c>
    </row>
    <row r="552" spans="1:6" x14ac:dyDescent="0.35">
      <c r="A552" s="69">
        <v>44733</v>
      </c>
      <c r="B552" s="54">
        <v>2285.15</v>
      </c>
      <c r="C552" s="54">
        <v>15638.8</v>
      </c>
      <c r="D552" s="54">
        <f t="shared" si="24"/>
        <v>8.3110979806992147E-4</v>
      </c>
      <c r="E552" s="54">
        <f t="shared" si="25"/>
        <v>-1.4524232766921568E-2</v>
      </c>
      <c r="F552" s="55">
        <f t="shared" si="26"/>
        <v>2022</v>
      </c>
    </row>
    <row r="553" spans="1:6" x14ac:dyDescent="0.35">
      <c r="A553" s="69">
        <v>44734</v>
      </c>
      <c r="B553" s="54">
        <v>2287.0500000000002</v>
      </c>
      <c r="C553" s="54">
        <v>15413.3</v>
      </c>
      <c r="D553" s="54">
        <f t="shared" si="24"/>
        <v>1.0374281541004121E-2</v>
      </c>
      <c r="E553" s="54">
        <f t="shared" si="25"/>
        <v>9.2574268770784281E-3</v>
      </c>
      <c r="F553" s="55">
        <f t="shared" si="26"/>
        <v>2022</v>
      </c>
    </row>
    <row r="554" spans="1:6" x14ac:dyDescent="0.35">
      <c r="A554" s="69">
        <v>44735</v>
      </c>
      <c r="B554" s="54">
        <v>2310.9</v>
      </c>
      <c r="C554" s="54">
        <v>15556.65</v>
      </c>
      <c r="D554" s="54">
        <f t="shared" si="24"/>
        <v>-2.1984676493234802E-2</v>
      </c>
      <c r="E554" s="54">
        <f t="shared" si="25"/>
        <v>9.1247405715748336E-3</v>
      </c>
      <c r="F554" s="55">
        <f t="shared" si="26"/>
        <v>2022</v>
      </c>
    </row>
    <row r="555" spans="1:6" x14ac:dyDescent="0.35">
      <c r="A555" s="69">
        <v>44736</v>
      </c>
      <c r="B555" s="54">
        <v>2260.65</v>
      </c>
      <c r="C555" s="54">
        <v>15699.25</v>
      </c>
      <c r="D555" s="54">
        <f t="shared" si="24"/>
        <v>3.3964216054504372E-2</v>
      </c>
      <c r="E555" s="54">
        <f t="shared" si="25"/>
        <v>8.4234259433956932E-3</v>
      </c>
      <c r="F555" s="55">
        <f t="shared" si="26"/>
        <v>2022</v>
      </c>
    </row>
    <row r="556" spans="1:6" x14ac:dyDescent="0.35">
      <c r="A556" s="69">
        <v>44739</v>
      </c>
      <c r="B556" s="54">
        <v>2338.75</v>
      </c>
      <c r="C556" s="54">
        <v>15832.05</v>
      </c>
      <c r="D556" s="54">
        <f t="shared" si="24"/>
        <v>1.3674120106287348E-2</v>
      </c>
      <c r="E556" s="54">
        <f t="shared" si="25"/>
        <v>1.1457520842448876E-3</v>
      </c>
      <c r="F556" s="55">
        <f t="shared" si="26"/>
        <v>2022</v>
      </c>
    </row>
    <row r="557" spans="1:6" x14ac:dyDescent="0.35">
      <c r="A557" s="69">
        <v>44740</v>
      </c>
      <c r="B557" s="54">
        <v>2370.9499999999998</v>
      </c>
      <c r="C557" s="54">
        <v>15850.2</v>
      </c>
      <c r="D557" s="54">
        <f t="shared" si="24"/>
        <v>-2.4032230509263224E-2</v>
      </c>
      <c r="E557" s="54">
        <f t="shared" si="25"/>
        <v>-3.2291421550026864E-3</v>
      </c>
      <c r="F557" s="55">
        <f t="shared" si="26"/>
        <v>2022</v>
      </c>
    </row>
    <row r="558" spans="1:6" x14ac:dyDescent="0.35">
      <c r="A558" s="69">
        <v>44741</v>
      </c>
      <c r="B558" s="54">
        <v>2314.65</v>
      </c>
      <c r="C558" s="54">
        <v>15799.1</v>
      </c>
      <c r="D558" s="54">
        <f t="shared" si="24"/>
        <v>-8.9396737439986669E-3</v>
      </c>
      <c r="E558" s="54">
        <f t="shared" si="25"/>
        <v>-1.1938182539383846E-3</v>
      </c>
      <c r="F558" s="55">
        <f t="shared" si="26"/>
        <v>2022</v>
      </c>
    </row>
    <row r="559" spans="1:6" x14ac:dyDescent="0.35">
      <c r="A559" s="69">
        <v>44742</v>
      </c>
      <c r="B559" s="54">
        <v>2294.0500000000002</v>
      </c>
      <c r="C559" s="54">
        <v>15780.25</v>
      </c>
      <c r="D559" s="54">
        <f t="shared" si="24"/>
        <v>-2.3329687476121373E-2</v>
      </c>
      <c r="E559" s="54">
        <f t="shared" si="25"/>
        <v>-1.7886425993802585E-3</v>
      </c>
      <c r="F559" s="55">
        <f t="shared" si="26"/>
        <v>2022</v>
      </c>
    </row>
    <row r="560" spans="1:6" x14ac:dyDescent="0.35">
      <c r="A560" s="69">
        <v>44743</v>
      </c>
      <c r="B560" s="54">
        <v>2241.15</v>
      </c>
      <c r="C560" s="54">
        <v>15752.05</v>
      </c>
      <c r="D560" s="54">
        <f t="shared" si="24"/>
        <v>-5.5482367878534056E-3</v>
      </c>
      <c r="E560" s="54">
        <f t="shared" si="25"/>
        <v>5.2742671509817375E-3</v>
      </c>
      <c r="F560" s="55">
        <f t="shared" si="26"/>
        <v>2022</v>
      </c>
    </row>
    <row r="561" spans="1:6" x14ac:dyDescent="0.35">
      <c r="A561" s="69">
        <v>44746</v>
      </c>
      <c r="B561" s="54">
        <v>2228.75</v>
      </c>
      <c r="C561" s="54">
        <v>15835.35</v>
      </c>
      <c r="D561" s="54">
        <f t="shared" si="24"/>
        <v>-2.67367643829582E-2</v>
      </c>
      <c r="E561" s="54">
        <f t="shared" si="25"/>
        <v>-1.5483694658309363E-3</v>
      </c>
      <c r="F561" s="55">
        <f t="shared" si="26"/>
        <v>2022</v>
      </c>
    </row>
    <row r="562" spans="1:6" x14ac:dyDescent="0.35">
      <c r="A562" s="69">
        <v>44747</v>
      </c>
      <c r="B562" s="54">
        <v>2169.9499999999998</v>
      </c>
      <c r="C562" s="54">
        <v>15810.85</v>
      </c>
      <c r="D562" s="54">
        <f t="shared" si="24"/>
        <v>1.5705872367900466E-2</v>
      </c>
      <c r="E562" s="54">
        <f t="shared" si="25"/>
        <v>1.1254605733214696E-2</v>
      </c>
      <c r="F562" s="55">
        <f t="shared" si="26"/>
        <v>2022</v>
      </c>
    </row>
    <row r="563" spans="1:6" x14ac:dyDescent="0.35">
      <c r="A563" s="69">
        <v>44748</v>
      </c>
      <c r="B563" s="54">
        <v>2204.3000000000002</v>
      </c>
      <c r="C563" s="54">
        <v>15989.8</v>
      </c>
      <c r="D563" s="54">
        <f t="shared" si="24"/>
        <v>2.5146417428418034E-3</v>
      </c>
      <c r="E563" s="54">
        <f t="shared" si="25"/>
        <v>8.9096462393676076E-3</v>
      </c>
      <c r="F563" s="55">
        <f t="shared" si="26"/>
        <v>2022</v>
      </c>
    </row>
    <row r="564" spans="1:6" x14ac:dyDescent="0.35">
      <c r="A564" s="69">
        <v>44749</v>
      </c>
      <c r="B564" s="54">
        <v>2209.85</v>
      </c>
      <c r="C564" s="54">
        <v>16132.9</v>
      </c>
      <c r="D564" s="54">
        <f t="shared" si="24"/>
        <v>1.0331763316978394E-2</v>
      </c>
      <c r="E564" s="54">
        <f t="shared" si="25"/>
        <v>5.4213741821626388E-3</v>
      </c>
      <c r="F564" s="55">
        <f t="shared" si="26"/>
        <v>2022</v>
      </c>
    </row>
    <row r="565" spans="1:6" x14ac:dyDescent="0.35">
      <c r="A565" s="69">
        <v>44750</v>
      </c>
      <c r="B565" s="54">
        <v>2232.8000000000002</v>
      </c>
      <c r="C565" s="54">
        <v>16220.6</v>
      </c>
      <c r="D565" s="54">
        <f t="shared" si="24"/>
        <v>-1.4185594709876247E-2</v>
      </c>
      <c r="E565" s="54">
        <f t="shared" si="25"/>
        <v>-2.8363022208483917E-4</v>
      </c>
      <c r="F565" s="55">
        <f t="shared" si="26"/>
        <v>2022</v>
      </c>
    </row>
    <row r="566" spans="1:6" x14ac:dyDescent="0.35">
      <c r="A566" s="69">
        <v>44753</v>
      </c>
      <c r="B566" s="54">
        <v>2201.35</v>
      </c>
      <c r="C566" s="54">
        <v>16216</v>
      </c>
      <c r="D566" s="54">
        <f t="shared" si="24"/>
        <v>-1.6673542030554211E-2</v>
      </c>
      <c r="E566" s="54">
        <f t="shared" si="25"/>
        <v>-9.7725592849715257E-3</v>
      </c>
      <c r="F566" s="55">
        <f t="shared" si="26"/>
        <v>2022</v>
      </c>
    </row>
    <row r="567" spans="1:6" x14ac:dyDescent="0.35">
      <c r="A567" s="69">
        <v>44754</v>
      </c>
      <c r="B567" s="54">
        <v>2164.9499999999998</v>
      </c>
      <c r="C567" s="54">
        <v>16058.3</v>
      </c>
      <c r="D567" s="54">
        <f t="shared" si="24"/>
        <v>-8.3024595648005673E-3</v>
      </c>
      <c r="E567" s="54">
        <f t="shared" si="25"/>
        <v>-5.7236779578485313E-3</v>
      </c>
      <c r="F567" s="55">
        <f t="shared" si="26"/>
        <v>2022</v>
      </c>
    </row>
    <row r="568" spans="1:6" x14ac:dyDescent="0.35">
      <c r="A568" s="69">
        <v>44755</v>
      </c>
      <c r="B568" s="54">
        <v>2147.0500000000002</v>
      </c>
      <c r="C568" s="54">
        <v>15966.65</v>
      </c>
      <c r="D568" s="54">
        <f t="shared" si="24"/>
        <v>-1.6838300727767142E-2</v>
      </c>
      <c r="E568" s="54">
        <f t="shared" si="25"/>
        <v>-1.7551947286701716E-3</v>
      </c>
      <c r="F568" s="55">
        <f t="shared" si="26"/>
        <v>2022</v>
      </c>
    </row>
    <row r="569" spans="1:6" x14ac:dyDescent="0.35">
      <c r="A569" s="69">
        <v>44756</v>
      </c>
      <c r="B569" s="54">
        <v>2111.1999999999998</v>
      </c>
      <c r="C569" s="54">
        <v>15938.65</v>
      </c>
      <c r="D569" s="54">
        <f t="shared" si="24"/>
        <v>1.4273359714224786E-2</v>
      </c>
      <c r="E569" s="54">
        <f t="shared" si="25"/>
        <v>6.9120269187908055E-3</v>
      </c>
      <c r="F569" s="55">
        <f t="shared" si="26"/>
        <v>2022</v>
      </c>
    </row>
    <row r="570" spans="1:6" x14ac:dyDescent="0.35">
      <c r="A570" s="69">
        <v>44757</v>
      </c>
      <c r="B570" s="54">
        <v>2141.5500000000002</v>
      </c>
      <c r="C570" s="54">
        <v>16049.2</v>
      </c>
      <c r="D570" s="54">
        <f t="shared" si="24"/>
        <v>8.1152856114684972E-3</v>
      </c>
      <c r="E570" s="54">
        <f t="shared" si="25"/>
        <v>1.4186214640328329E-2</v>
      </c>
      <c r="F570" s="55">
        <f t="shared" si="26"/>
        <v>2022</v>
      </c>
    </row>
    <row r="571" spans="1:6" x14ac:dyDescent="0.35">
      <c r="A571" s="69">
        <v>44760</v>
      </c>
      <c r="B571" s="54">
        <v>2159</v>
      </c>
      <c r="C571" s="54">
        <v>16278.5</v>
      </c>
      <c r="D571" s="54">
        <f t="shared" si="24"/>
        <v>-5.6667902121334416E-3</v>
      </c>
      <c r="E571" s="54">
        <f t="shared" si="25"/>
        <v>3.8045298587748868E-3</v>
      </c>
      <c r="F571" s="55">
        <f t="shared" si="26"/>
        <v>2022</v>
      </c>
    </row>
    <row r="572" spans="1:6" x14ac:dyDescent="0.35">
      <c r="A572" s="69">
        <v>44761</v>
      </c>
      <c r="B572" s="54">
        <v>2146.8000000000002</v>
      </c>
      <c r="C572" s="54">
        <v>16340.55</v>
      </c>
      <c r="D572" s="54">
        <f t="shared" si="24"/>
        <v>4.9770102125995849E-2</v>
      </c>
      <c r="E572" s="54">
        <f t="shared" si="25"/>
        <v>1.0973470957583456E-2</v>
      </c>
      <c r="F572" s="55">
        <f t="shared" si="26"/>
        <v>2022</v>
      </c>
    </row>
    <row r="573" spans="1:6" x14ac:dyDescent="0.35">
      <c r="A573" s="69">
        <v>44762</v>
      </c>
      <c r="B573" s="54">
        <v>2256.35</v>
      </c>
      <c r="C573" s="54">
        <v>16520.849999999999</v>
      </c>
      <c r="D573" s="54">
        <f t="shared" si="24"/>
        <v>1.4614705878529066E-3</v>
      </c>
      <c r="E573" s="54">
        <f t="shared" si="25"/>
        <v>5.0956908678000479E-3</v>
      </c>
      <c r="F573" s="55">
        <f t="shared" si="26"/>
        <v>2022</v>
      </c>
    </row>
    <row r="574" spans="1:6" x14ac:dyDescent="0.35">
      <c r="A574" s="69">
        <v>44763</v>
      </c>
      <c r="B574" s="54">
        <v>2259.65</v>
      </c>
      <c r="C574" s="54">
        <v>16605.25</v>
      </c>
      <c r="D574" s="54">
        <f t="shared" si="24"/>
        <v>7.4072779765893765E-3</v>
      </c>
      <c r="E574" s="54">
        <f t="shared" si="25"/>
        <v>6.8538019571832377E-3</v>
      </c>
      <c r="F574" s="55">
        <f t="shared" si="26"/>
        <v>2022</v>
      </c>
    </row>
    <row r="575" spans="1:6" x14ac:dyDescent="0.35">
      <c r="A575" s="69">
        <v>44764</v>
      </c>
      <c r="B575" s="54">
        <v>2276.4499999999998</v>
      </c>
      <c r="C575" s="54">
        <v>16719.45</v>
      </c>
      <c r="D575" s="54">
        <f t="shared" si="24"/>
        <v>1.9962392033255408E-2</v>
      </c>
      <c r="E575" s="54">
        <f t="shared" si="25"/>
        <v>-5.3042886906669159E-3</v>
      </c>
      <c r="F575" s="55">
        <f t="shared" si="26"/>
        <v>2022</v>
      </c>
    </row>
    <row r="576" spans="1:6" x14ac:dyDescent="0.35">
      <c r="A576" s="69">
        <v>44767</v>
      </c>
      <c r="B576" s="54">
        <v>2322.35</v>
      </c>
      <c r="C576" s="54">
        <v>16631</v>
      </c>
      <c r="D576" s="54">
        <f t="shared" si="24"/>
        <v>-6.4379212450820303E-2</v>
      </c>
      <c r="E576" s="54">
        <f t="shared" si="25"/>
        <v>-8.8873099859093849E-3</v>
      </c>
      <c r="F576" s="55">
        <f t="shared" si="26"/>
        <v>2022</v>
      </c>
    </row>
    <row r="577" spans="1:6" x14ac:dyDescent="0.35">
      <c r="A577" s="69">
        <v>44768</v>
      </c>
      <c r="B577" s="54">
        <v>2177.5500000000002</v>
      </c>
      <c r="C577" s="54">
        <v>16483.849999999999</v>
      </c>
      <c r="D577" s="54">
        <f t="shared" si="24"/>
        <v>1.8382954249292167E-2</v>
      </c>
      <c r="E577" s="54">
        <f t="shared" si="25"/>
        <v>9.5364889176067225E-3</v>
      </c>
      <c r="F577" s="55">
        <f t="shared" si="26"/>
        <v>2022</v>
      </c>
    </row>
    <row r="578" spans="1:6" x14ac:dyDescent="0.35">
      <c r="A578" s="69">
        <v>44769</v>
      </c>
      <c r="B578" s="54">
        <v>2217.9499999999998</v>
      </c>
      <c r="C578" s="54">
        <v>16641.8</v>
      </c>
      <c r="D578" s="54">
        <f t="shared" ref="D578:D641" si="27">LN(B579/B578)</f>
        <v>8.194650888428431E-3</v>
      </c>
      <c r="E578" s="54">
        <f t="shared" ref="E578:E641" si="28">LN(C579/C578)</f>
        <v>1.7145966548059971E-2</v>
      </c>
      <c r="F578" s="55">
        <f t="shared" ref="F578:F641" si="29">YEAR(A578)</f>
        <v>2022</v>
      </c>
    </row>
    <row r="579" spans="1:6" x14ac:dyDescent="0.35">
      <c r="A579" s="69">
        <v>44770</v>
      </c>
      <c r="B579" s="54">
        <v>2236.1999999999998</v>
      </c>
      <c r="C579" s="54">
        <v>16929.599999999999</v>
      </c>
      <c r="D579" s="54">
        <f t="shared" si="27"/>
        <v>2.8044165901296832E-2</v>
      </c>
      <c r="E579" s="54">
        <f t="shared" si="28"/>
        <v>1.341553833962306E-2</v>
      </c>
      <c r="F579" s="55">
        <f t="shared" si="29"/>
        <v>2022</v>
      </c>
    </row>
    <row r="580" spans="1:6" x14ac:dyDescent="0.35">
      <c r="A580" s="69">
        <v>44771</v>
      </c>
      <c r="B580" s="54">
        <v>2299.8000000000002</v>
      </c>
      <c r="C580" s="54">
        <v>17158.25</v>
      </c>
      <c r="D580" s="54">
        <f t="shared" si="27"/>
        <v>2.6705764121536398E-3</v>
      </c>
      <c r="E580" s="54">
        <f t="shared" si="28"/>
        <v>1.0539747347198897E-2</v>
      </c>
      <c r="F580" s="55">
        <f t="shared" si="29"/>
        <v>2022</v>
      </c>
    </row>
    <row r="581" spans="1:6" x14ac:dyDescent="0.35">
      <c r="A581" s="69">
        <v>44774</v>
      </c>
      <c r="B581" s="54">
        <v>2305.9499999999998</v>
      </c>
      <c r="C581" s="54">
        <v>17340.05</v>
      </c>
      <c r="D581" s="54">
        <f t="shared" si="27"/>
        <v>-1.0089979364164932E-2</v>
      </c>
      <c r="E581" s="54">
        <f t="shared" si="28"/>
        <v>3.1136930669172061E-4</v>
      </c>
      <c r="F581" s="55">
        <f t="shared" si="29"/>
        <v>2022</v>
      </c>
    </row>
    <row r="582" spans="1:6" x14ac:dyDescent="0.35">
      <c r="A582" s="69">
        <v>44775</v>
      </c>
      <c r="B582" s="54">
        <v>2282.8000000000002</v>
      </c>
      <c r="C582" s="54">
        <v>17345.45</v>
      </c>
      <c r="D582" s="54">
        <f t="shared" si="27"/>
        <v>1.6164425997802476E-2</v>
      </c>
      <c r="E582" s="54">
        <f t="shared" si="28"/>
        <v>2.4587155671240059E-3</v>
      </c>
      <c r="F582" s="55">
        <f t="shared" si="29"/>
        <v>2022</v>
      </c>
    </row>
    <row r="583" spans="1:6" x14ac:dyDescent="0.35">
      <c r="A583" s="69">
        <v>44776</v>
      </c>
      <c r="B583" s="54">
        <v>2320</v>
      </c>
      <c r="C583" s="54">
        <v>17388.150000000001</v>
      </c>
      <c r="D583" s="54">
        <f t="shared" si="27"/>
        <v>2.1934396732718155E-2</v>
      </c>
      <c r="E583" s="54">
        <f t="shared" si="28"/>
        <v>-3.5375171312953282E-4</v>
      </c>
      <c r="F583" s="55">
        <f t="shared" si="29"/>
        <v>2022</v>
      </c>
    </row>
    <row r="584" spans="1:6" x14ac:dyDescent="0.35">
      <c r="A584" s="69">
        <v>44777</v>
      </c>
      <c r="B584" s="54">
        <v>2371.4499999999998</v>
      </c>
      <c r="C584" s="54">
        <v>17382</v>
      </c>
      <c r="D584" s="54">
        <f t="shared" si="27"/>
        <v>9.8190160104043005E-3</v>
      </c>
      <c r="E584" s="54">
        <f t="shared" si="28"/>
        <v>8.9132972159968534E-4</v>
      </c>
      <c r="F584" s="55">
        <f t="shared" si="29"/>
        <v>2022</v>
      </c>
    </row>
    <row r="585" spans="1:6" x14ac:dyDescent="0.35">
      <c r="A585" s="69">
        <v>44778</v>
      </c>
      <c r="B585" s="54">
        <v>2394.85</v>
      </c>
      <c r="C585" s="54">
        <v>17397.5</v>
      </c>
      <c r="D585" s="54">
        <f t="shared" si="27"/>
        <v>-1.5461766557127851E-3</v>
      </c>
      <c r="E585" s="54">
        <f t="shared" si="28"/>
        <v>7.3076213015998703E-3</v>
      </c>
      <c r="F585" s="55">
        <f t="shared" si="29"/>
        <v>2022</v>
      </c>
    </row>
    <row r="586" spans="1:6" x14ac:dyDescent="0.35">
      <c r="A586" s="69">
        <v>44781</v>
      </c>
      <c r="B586" s="54">
        <v>2391.15</v>
      </c>
      <c r="C586" s="54">
        <v>17525.099999999999</v>
      </c>
      <c r="D586" s="54">
        <f t="shared" si="27"/>
        <v>-1.1250131797550933E-2</v>
      </c>
      <c r="E586" s="54">
        <f t="shared" si="28"/>
        <v>5.5048725215279116E-4</v>
      </c>
      <c r="F586" s="55">
        <f t="shared" si="29"/>
        <v>2022</v>
      </c>
    </row>
    <row r="587" spans="1:6" x14ac:dyDescent="0.35">
      <c r="A587" s="69">
        <v>44783</v>
      </c>
      <c r="B587" s="54">
        <v>2364.4</v>
      </c>
      <c r="C587" s="54">
        <v>17534.75</v>
      </c>
      <c r="D587" s="54">
        <f t="shared" si="27"/>
        <v>2.5204136323437626E-2</v>
      </c>
      <c r="E587" s="54">
        <f t="shared" si="28"/>
        <v>7.0609421403666373E-3</v>
      </c>
      <c r="F587" s="55">
        <f t="shared" si="29"/>
        <v>2022</v>
      </c>
    </row>
    <row r="588" spans="1:6" x14ac:dyDescent="0.35">
      <c r="A588" s="69">
        <v>44784</v>
      </c>
      <c r="B588" s="54">
        <v>2424.75</v>
      </c>
      <c r="C588" s="54">
        <v>17659</v>
      </c>
      <c r="D588" s="54">
        <f t="shared" si="27"/>
        <v>-2.1173191825414175E-2</v>
      </c>
      <c r="E588" s="54">
        <f t="shared" si="28"/>
        <v>2.2145459122128799E-3</v>
      </c>
      <c r="F588" s="55">
        <f t="shared" si="29"/>
        <v>2022</v>
      </c>
    </row>
    <row r="589" spans="1:6" x14ac:dyDescent="0.35">
      <c r="A589" s="69">
        <v>44785</v>
      </c>
      <c r="B589" s="54">
        <v>2373.9499999999998</v>
      </c>
      <c r="C589" s="54">
        <v>17698.150000000001</v>
      </c>
      <c r="D589" s="54">
        <f t="shared" si="27"/>
        <v>-8.545433476875865E-3</v>
      </c>
      <c r="E589" s="54">
        <f t="shared" si="28"/>
        <v>7.1558771042484594E-3</v>
      </c>
      <c r="F589" s="55">
        <f t="shared" si="29"/>
        <v>2022</v>
      </c>
    </row>
    <row r="590" spans="1:6" x14ac:dyDescent="0.35">
      <c r="A590" s="69">
        <v>44789</v>
      </c>
      <c r="B590" s="54">
        <v>2353.75</v>
      </c>
      <c r="C590" s="54">
        <v>17825.25</v>
      </c>
      <c r="D590" s="54">
        <f t="shared" si="27"/>
        <v>2.1290591193644778E-2</v>
      </c>
      <c r="E590" s="54">
        <f t="shared" si="28"/>
        <v>6.6537379070216564E-3</v>
      </c>
      <c r="F590" s="55">
        <f t="shared" si="29"/>
        <v>2022</v>
      </c>
    </row>
    <row r="591" spans="1:6" x14ac:dyDescent="0.35">
      <c r="A591" s="69">
        <v>44790</v>
      </c>
      <c r="B591" s="54">
        <v>2404.4</v>
      </c>
      <c r="C591" s="54">
        <v>17944.25</v>
      </c>
      <c r="D591" s="54">
        <f t="shared" si="27"/>
        <v>2.8241567072239153E-3</v>
      </c>
      <c r="E591" s="54">
        <f t="shared" si="28"/>
        <v>6.8243702292707423E-4</v>
      </c>
      <c r="F591" s="55">
        <f t="shared" si="29"/>
        <v>2022</v>
      </c>
    </row>
    <row r="592" spans="1:6" x14ac:dyDescent="0.35">
      <c r="A592" s="69">
        <v>44791</v>
      </c>
      <c r="B592" s="54">
        <v>2411.1999999999998</v>
      </c>
      <c r="C592" s="54">
        <v>17956.5</v>
      </c>
      <c r="D592" s="54">
        <f t="shared" si="27"/>
        <v>-7.0962870755538494E-3</v>
      </c>
      <c r="E592" s="54">
        <f t="shared" si="28"/>
        <v>-1.1090707396812729E-2</v>
      </c>
      <c r="F592" s="55">
        <f t="shared" si="29"/>
        <v>2022</v>
      </c>
    </row>
    <row r="593" spans="1:6" x14ac:dyDescent="0.35">
      <c r="A593" s="69">
        <v>44792</v>
      </c>
      <c r="B593" s="54">
        <v>2394.15</v>
      </c>
      <c r="C593" s="54">
        <v>17758.45</v>
      </c>
      <c r="D593" s="54">
        <f t="shared" si="27"/>
        <v>-2.0188642521001606E-2</v>
      </c>
      <c r="E593" s="54">
        <f t="shared" si="28"/>
        <v>-1.519214788075593E-2</v>
      </c>
      <c r="F593" s="55">
        <f t="shared" si="29"/>
        <v>2022</v>
      </c>
    </row>
    <row r="594" spans="1:6" x14ac:dyDescent="0.35">
      <c r="A594" s="69">
        <v>44795</v>
      </c>
      <c r="B594" s="54">
        <v>2346.3000000000002</v>
      </c>
      <c r="C594" s="54">
        <v>17490.7</v>
      </c>
      <c r="D594" s="54">
        <f t="shared" si="27"/>
        <v>-3.5286935657386484E-2</v>
      </c>
      <c r="E594" s="54">
        <f t="shared" si="28"/>
        <v>4.9503639913507161E-3</v>
      </c>
      <c r="F594" s="55">
        <f t="shared" si="29"/>
        <v>2022</v>
      </c>
    </row>
    <row r="595" spans="1:6" x14ac:dyDescent="0.35">
      <c r="A595" s="69">
        <v>44796</v>
      </c>
      <c r="B595" s="54">
        <v>2264.9499999999998</v>
      </c>
      <c r="C595" s="54">
        <v>17577.5</v>
      </c>
      <c r="D595" s="54">
        <f t="shared" si="27"/>
        <v>-1.9865323802282845E-2</v>
      </c>
      <c r="E595" s="54">
        <f t="shared" si="28"/>
        <v>1.5604374095596946E-3</v>
      </c>
      <c r="F595" s="55">
        <f t="shared" si="29"/>
        <v>2022</v>
      </c>
    </row>
    <row r="596" spans="1:6" x14ac:dyDescent="0.35">
      <c r="A596" s="69">
        <v>44797</v>
      </c>
      <c r="B596" s="54">
        <v>2220.4</v>
      </c>
      <c r="C596" s="54">
        <v>17604.95</v>
      </c>
      <c r="D596" s="54">
        <f t="shared" si="27"/>
        <v>-1.2439690475639349E-2</v>
      </c>
      <c r="E596" s="54">
        <f t="shared" si="28"/>
        <v>-4.6971965865721787E-3</v>
      </c>
      <c r="F596" s="55">
        <f t="shared" si="29"/>
        <v>2022</v>
      </c>
    </row>
    <row r="597" spans="1:6" x14ac:dyDescent="0.35">
      <c r="A597" s="69">
        <v>44798</v>
      </c>
      <c r="B597" s="54">
        <v>2192.9499999999998</v>
      </c>
      <c r="C597" s="54">
        <v>17522.45</v>
      </c>
      <c r="D597" s="54">
        <f t="shared" si="27"/>
        <v>-1.2342437020008782E-2</v>
      </c>
      <c r="E597" s="54">
        <f t="shared" si="28"/>
        <v>2.0780279616681788E-3</v>
      </c>
      <c r="F597" s="55">
        <f t="shared" si="29"/>
        <v>2022</v>
      </c>
    </row>
    <row r="598" spans="1:6" x14ac:dyDescent="0.35">
      <c r="A598" s="69">
        <v>44799</v>
      </c>
      <c r="B598" s="54">
        <v>2166.0500000000002</v>
      </c>
      <c r="C598" s="54">
        <v>17558.900000000001</v>
      </c>
      <c r="D598" s="54">
        <f t="shared" si="27"/>
        <v>-3.7033867568497331E-2</v>
      </c>
      <c r="E598" s="54">
        <f t="shared" si="28"/>
        <v>-1.4109055502046193E-2</v>
      </c>
      <c r="F598" s="55">
        <f t="shared" si="29"/>
        <v>2022</v>
      </c>
    </row>
    <row r="599" spans="1:6" x14ac:dyDescent="0.35">
      <c r="A599" s="69">
        <v>44802</v>
      </c>
      <c r="B599" s="54">
        <v>2087.3000000000002</v>
      </c>
      <c r="C599" s="54">
        <v>17312.900000000001</v>
      </c>
      <c r="D599" s="54">
        <f t="shared" si="27"/>
        <v>2.0696524908657535E-2</v>
      </c>
      <c r="E599" s="54">
        <f t="shared" si="28"/>
        <v>2.5457433999052224E-2</v>
      </c>
      <c r="F599" s="55">
        <f t="shared" si="29"/>
        <v>2022</v>
      </c>
    </row>
    <row r="600" spans="1:6" x14ac:dyDescent="0.35">
      <c r="A600" s="69">
        <v>44803</v>
      </c>
      <c r="B600" s="54">
        <v>2130.9499999999998</v>
      </c>
      <c r="C600" s="54">
        <v>17759.3</v>
      </c>
      <c r="D600" s="54">
        <f t="shared" si="27"/>
        <v>-1.7205285321473116E-2</v>
      </c>
      <c r="E600" s="54">
        <f t="shared" si="28"/>
        <v>-1.226571304940768E-2</v>
      </c>
      <c r="F600" s="55">
        <f t="shared" si="29"/>
        <v>2022</v>
      </c>
    </row>
    <row r="601" spans="1:6" x14ac:dyDescent="0.35">
      <c r="A601" s="69">
        <v>44805</v>
      </c>
      <c r="B601" s="54">
        <v>2094.6</v>
      </c>
      <c r="C601" s="54">
        <v>17542.8</v>
      </c>
      <c r="D601" s="54">
        <f t="shared" si="27"/>
        <v>-1.0438132421441954E-2</v>
      </c>
      <c r="E601" s="54">
        <f t="shared" si="28"/>
        <v>-1.9097976955190739E-4</v>
      </c>
      <c r="F601" s="55">
        <f t="shared" si="29"/>
        <v>2022</v>
      </c>
    </row>
    <row r="602" spans="1:6" x14ac:dyDescent="0.35">
      <c r="A602" s="69">
        <v>44806</v>
      </c>
      <c r="B602" s="54">
        <v>2072.85</v>
      </c>
      <c r="C602" s="54">
        <v>17539.45</v>
      </c>
      <c r="D602" s="54">
        <f t="shared" si="27"/>
        <v>9.3872605788528022E-3</v>
      </c>
      <c r="E602" s="54">
        <f t="shared" si="28"/>
        <v>7.1779375230424077E-3</v>
      </c>
      <c r="F602" s="55">
        <f t="shared" si="29"/>
        <v>2022</v>
      </c>
    </row>
    <row r="603" spans="1:6" x14ac:dyDescent="0.35">
      <c r="A603" s="69">
        <v>44809</v>
      </c>
      <c r="B603" s="54">
        <v>2092.4</v>
      </c>
      <c r="C603" s="54">
        <v>17665.8</v>
      </c>
      <c r="D603" s="54">
        <f t="shared" si="27"/>
        <v>-1.5096170832339481E-2</v>
      </c>
      <c r="E603" s="54">
        <f t="shared" si="28"/>
        <v>-5.7755356715944719E-4</v>
      </c>
      <c r="F603" s="55">
        <f t="shared" si="29"/>
        <v>2022</v>
      </c>
    </row>
    <row r="604" spans="1:6" x14ac:dyDescent="0.35">
      <c r="A604" s="69">
        <v>44810</v>
      </c>
      <c r="B604" s="54">
        <v>2061.0500000000002</v>
      </c>
      <c r="C604" s="54">
        <v>17655.599999999999</v>
      </c>
      <c r="D604" s="54">
        <f t="shared" si="27"/>
        <v>1.1049569598863627E-2</v>
      </c>
      <c r="E604" s="54">
        <f t="shared" si="28"/>
        <v>-1.7687079440843621E-3</v>
      </c>
      <c r="F604" s="55">
        <f t="shared" si="29"/>
        <v>2022</v>
      </c>
    </row>
    <row r="605" spans="1:6" x14ac:dyDescent="0.35">
      <c r="A605" s="69">
        <v>44811</v>
      </c>
      <c r="B605" s="54">
        <v>2083.9499999999998</v>
      </c>
      <c r="C605" s="54">
        <v>17624.400000000001</v>
      </c>
      <c r="D605" s="54">
        <f t="shared" si="27"/>
        <v>6.0518537554919757E-3</v>
      </c>
      <c r="E605" s="54">
        <f t="shared" si="28"/>
        <v>9.8439245473871447E-3</v>
      </c>
      <c r="F605" s="55">
        <f t="shared" si="29"/>
        <v>2022</v>
      </c>
    </row>
    <row r="606" spans="1:6" x14ac:dyDescent="0.35">
      <c r="A606" s="69">
        <v>44812</v>
      </c>
      <c r="B606" s="54">
        <v>2096.6</v>
      </c>
      <c r="C606" s="54">
        <v>17798.75</v>
      </c>
      <c r="D606" s="54">
        <f t="shared" si="27"/>
        <v>2.2752634828493584E-2</v>
      </c>
      <c r="E606" s="54">
        <f t="shared" si="28"/>
        <v>1.9420696997862557E-3</v>
      </c>
      <c r="F606" s="55">
        <f t="shared" si="29"/>
        <v>2022</v>
      </c>
    </row>
    <row r="607" spans="1:6" x14ac:dyDescent="0.35">
      <c r="A607" s="69">
        <v>44813</v>
      </c>
      <c r="B607" s="54">
        <v>2144.85</v>
      </c>
      <c r="C607" s="54">
        <v>17833.349999999999</v>
      </c>
      <c r="D607" s="54">
        <f t="shared" si="27"/>
        <v>7.3163410359186158E-3</v>
      </c>
      <c r="E607" s="54">
        <f t="shared" si="28"/>
        <v>5.7590801534984177E-3</v>
      </c>
      <c r="F607" s="55">
        <f t="shared" si="29"/>
        <v>2022</v>
      </c>
    </row>
    <row r="608" spans="1:6" x14ac:dyDescent="0.35">
      <c r="A608" s="69">
        <v>44816</v>
      </c>
      <c r="B608" s="54">
        <v>2160.6</v>
      </c>
      <c r="C608" s="54">
        <v>17936.349999999999</v>
      </c>
      <c r="D608" s="54">
        <f t="shared" si="27"/>
        <v>-3.9418512793452428E-3</v>
      </c>
      <c r="E608" s="54">
        <f t="shared" si="28"/>
        <v>7.4264916511124004E-3</v>
      </c>
      <c r="F608" s="55">
        <f t="shared" si="29"/>
        <v>2022</v>
      </c>
    </row>
    <row r="609" spans="1:6" x14ac:dyDescent="0.35">
      <c r="A609" s="69">
        <v>44817</v>
      </c>
      <c r="B609" s="54">
        <v>2152.1</v>
      </c>
      <c r="C609" s="54">
        <v>18070.05</v>
      </c>
      <c r="D609" s="54">
        <f t="shared" si="27"/>
        <v>-2.944752178319562E-2</v>
      </c>
      <c r="E609" s="54">
        <f t="shared" si="28"/>
        <v>-3.6758020863416896E-3</v>
      </c>
      <c r="F609" s="55">
        <f t="shared" si="29"/>
        <v>2022</v>
      </c>
    </row>
    <row r="610" spans="1:6" x14ac:dyDescent="0.35">
      <c r="A610" s="69">
        <v>44818</v>
      </c>
      <c r="B610" s="54">
        <v>2089.65</v>
      </c>
      <c r="C610" s="54">
        <v>18003.75</v>
      </c>
      <c r="D610" s="54">
        <f t="shared" si="27"/>
        <v>3.3442450488423547E-3</v>
      </c>
      <c r="E610" s="54">
        <f t="shared" si="28"/>
        <v>-7.0427242296225243E-3</v>
      </c>
      <c r="F610" s="55">
        <f t="shared" si="29"/>
        <v>2022</v>
      </c>
    </row>
    <row r="611" spans="1:6" x14ac:dyDescent="0.35">
      <c r="A611" s="69">
        <v>44819</v>
      </c>
      <c r="B611" s="54">
        <v>2096.65</v>
      </c>
      <c r="C611" s="54">
        <v>17877.400000000001</v>
      </c>
      <c r="D611" s="54">
        <f t="shared" si="27"/>
        <v>-3.9051886635480516E-2</v>
      </c>
      <c r="E611" s="54">
        <f t="shared" si="28"/>
        <v>-1.9575159238115449E-2</v>
      </c>
      <c r="F611" s="55">
        <f t="shared" si="29"/>
        <v>2022</v>
      </c>
    </row>
    <row r="612" spans="1:6" x14ac:dyDescent="0.35">
      <c r="A612" s="69">
        <v>44820</v>
      </c>
      <c r="B612" s="54">
        <v>2016.35</v>
      </c>
      <c r="C612" s="54">
        <v>17530.849999999999</v>
      </c>
      <c r="D612" s="54">
        <f t="shared" si="27"/>
        <v>5.8351012391714254E-3</v>
      </c>
      <c r="E612" s="54">
        <f t="shared" si="28"/>
        <v>5.2001220924611218E-3</v>
      </c>
      <c r="F612" s="55">
        <f t="shared" si="29"/>
        <v>2022</v>
      </c>
    </row>
    <row r="613" spans="1:6" x14ac:dyDescent="0.35">
      <c r="A613" s="69">
        <v>44823</v>
      </c>
      <c r="B613" s="54">
        <v>2028.15</v>
      </c>
      <c r="C613" s="54">
        <v>17622.25</v>
      </c>
      <c r="D613" s="54">
        <f t="shared" si="27"/>
        <v>2.1800424444726546E-2</v>
      </c>
      <c r="E613" s="54">
        <f t="shared" si="28"/>
        <v>1.0948654031257964E-2</v>
      </c>
      <c r="F613" s="55">
        <f t="shared" si="29"/>
        <v>2022</v>
      </c>
    </row>
    <row r="614" spans="1:6" x14ac:dyDescent="0.35">
      <c r="A614" s="69">
        <v>44824</v>
      </c>
      <c r="B614" s="54">
        <v>2072.85</v>
      </c>
      <c r="C614" s="54">
        <v>17816.25</v>
      </c>
      <c r="D614" s="54">
        <f t="shared" si="27"/>
        <v>1.0848733570453478E-3</v>
      </c>
      <c r="E614" s="54">
        <f t="shared" si="28"/>
        <v>-5.5101364698046914E-3</v>
      </c>
      <c r="F614" s="55">
        <f t="shared" si="29"/>
        <v>2022</v>
      </c>
    </row>
    <row r="615" spans="1:6" x14ac:dyDescent="0.35">
      <c r="A615" s="69">
        <v>44825</v>
      </c>
      <c r="B615" s="54">
        <v>2075.1</v>
      </c>
      <c r="C615" s="54">
        <v>17718.349999999999</v>
      </c>
      <c r="D615" s="54">
        <f t="shared" si="27"/>
        <v>-7.9346296593861762E-3</v>
      </c>
      <c r="E615" s="54">
        <f t="shared" si="28"/>
        <v>-5.0101736713567694E-3</v>
      </c>
      <c r="F615" s="55">
        <f t="shared" si="29"/>
        <v>2022</v>
      </c>
    </row>
    <row r="616" spans="1:6" x14ac:dyDescent="0.35">
      <c r="A616" s="69">
        <v>44826</v>
      </c>
      <c r="B616" s="54">
        <v>2058.6999999999998</v>
      </c>
      <c r="C616" s="54">
        <v>17629.8</v>
      </c>
      <c r="D616" s="54">
        <f t="shared" si="27"/>
        <v>-1.9249518521908981E-2</v>
      </c>
      <c r="E616" s="54">
        <f t="shared" si="28"/>
        <v>-1.7304474032895981E-2</v>
      </c>
      <c r="F616" s="55">
        <f t="shared" si="29"/>
        <v>2022</v>
      </c>
    </row>
    <row r="617" spans="1:6" x14ac:dyDescent="0.35">
      <c r="A617" s="69">
        <v>44827</v>
      </c>
      <c r="B617" s="54">
        <v>2019.45</v>
      </c>
      <c r="C617" s="54">
        <v>17327.349999999999</v>
      </c>
      <c r="D617" s="54">
        <f t="shared" si="27"/>
        <v>1.1496218680135199E-2</v>
      </c>
      <c r="E617" s="54">
        <f t="shared" si="28"/>
        <v>-1.8114469805080784E-2</v>
      </c>
      <c r="F617" s="55">
        <f t="shared" si="29"/>
        <v>2022</v>
      </c>
    </row>
    <row r="618" spans="1:6" x14ac:dyDescent="0.35">
      <c r="A618" s="69">
        <v>44830</v>
      </c>
      <c r="B618" s="54">
        <v>2042.8</v>
      </c>
      <c r="C618" s="54">
        <v>17016.3</v>
      </c>
      <c r="D618" s="54">
        <f t="shared" si="27"/>
        <v>4.8589418154092196E-3</v>
      </c>
      <c r="E618" s="54">
        <f t="shared" si="28"/>
        <v>-5.2316474710229822E-4</v>
      </c>
      <c r="F618" s="55">
        <f t="shared" si="29"/>
        <v>2022</v>
      </c>
    </row>
    <row r="619" spans="1:6" x14ac:dyDescent="0.35">
      <c r="A619" s="69">
        <v>44831</v>
      </c>
      <c r="B619" s="54">
        <v>2052.75</v>
      </c>
      <c r="C619" s="54">
        <v>17007.400000000001</v>
      </c>
      <c r="D619" s="54">
        <f t="shared" si="27"/>
        <v>1.4388737452099671E-2</v>
      </c>
      <c r="E619" s="54">
        <f t="shared" si="28"/>
        <v>-8.7876311083257466E-3</v>
      </c>
      <c r="F619" s="55">
        <f t="shared" si="29"/>
        <v>2022</v>
      </c>
    </row>
    <row r="620" spans="1:6" x14ac:dyDescent="0.35">
      <c r="A620" s="69">
        <v>44832</v>
      </c>
      <c r="B620" s="54">
        <v>2082.5</v>
      </c>
      <c r="C620" s="54">
        <v>16858.599999999999</v>
      </c>
      <c r="D620" s="54">
        <f t="shared" si="27"/>
        <v>-3.1502148236815732E-3</v>
      </c>
      <c r="E620" s="54">
        <f t="shared" si="28"/>
        <v>-2.4052249492814721E-3</v>
      </c>
      <c r="F620" s="55">
        <f t="shared" si="29"/>
        <v>2022</v>
      </c>
    </row>
    <row r="621" spans="1:6" x14ac:dyDescent="0.35">
      <c r="A621" s="69">
        <v>44833</v>
      </c>
      <c r="B621" s="54">
        <v>2075.9499999999998</v>
      </c>
      <c r="C621" s="54">
        <v>16818.099999999999</v>
      </c>
      <c r="D621" s="54">
        <f t="shared" si="27"/>
        <v>5.6201512135802042E-3</v>
      </c>
      <c r="E621" s="54">
        <f t="shared" si="28"/>
        <v>1.6292312151434972E-2</v>
      </c>
      <c r="F621" s="55">
        <f t="shared" si="29"/>
        <v>2022</v>
      </c>
    </row>
    <row r="622" spans="1:6" x14ac:dyDescent="0.35">
      <c r="A622" s="69">
        <v>44834</v>
      </c>
      <c r="B622" s="54">
        <v>2087.65</v>
      </c>
      <c r="C622" s="54">
        <v>17094.349999999999</v>
      </c>
      <c r="D622" s="54">
        <f t="shared" si="27"/>
        <v>-3.974680174474117E-2</v>
      </c>
      <c r="E622" s="54">
        <f t="shared" si="28"/>
        <v>-1.2183178617222033E-2</v>
      </c>
      <c r="F622" s="55">
        <f t="shared" si="29"/>
        <v>2022</v>
      </c>
    </row>
    <row r="623" spans="1:6" x14ac:dyDescent="0.35">
      <c r="A623" s="69">
        <v>44837</v>
      </c>
      <c r="B623" s="54">
        <v>2006.3</v>
      </c>
      <c r="C623" s="54">
        <v>16887.349999999999</v>
      </c>
      <c r="D623" s="54">
        <f t="shared" si="27"/>
        <v>3.0289726942164599E-2</v>
      </c>
      <c r="E623" s="54">
        <f t="shared" si="28"/>
        <v>2.2655026911186513E-2</v>
      </c>
      <c r="F623" s="55">
        <f t="shared" si="29"/>
        <v>2022</v>
      </c>
    </row>
    <row r="624" spans="1:6" x14ac:dyDescent="0.35">
      <c r="A624" s="69">
        <v>44838</v>
      </c>
      <c r="B624" s="54">
        <v>2068</v>
      </c>
      <c r="C624" s="54">
        <v>17274.3</v>
      </c>
      <c r="D624" s="54">
        <f t="shared" si="27"/>
        <v>2.580064594473325E-2</v>
      </c>
      <c r="E624" s="54">
        <f t="shared" si="28"/>
        <v>3.3231166132481811E-3</v>
      </c>
      <c r="F624" s="55">
        <f t="shared" si="29"/>
        <v>2022</v>
      </c>
    </row>
    <row r="625" spans="1:6" x14ac:dyDescent="0.35">
      <c r="A625" s="69">
        <v>44840</v>
      </c>
      <c r="B625" s="54">
        <v>2122.0500000000002</v>
      </c>
      <c r="C625" s="54">
        <v>17331.8</v>
      </c>
      <c r="D625" s="54">
        <f t="shared" si="27"/>
        <v>-1.6979133898706814E-3</v>
      </c>
      <c r="E625" s="54">
        <f t="shared" si="28"/>
        <v>-9.900004993715066E-4</v>
      </c>
      <c r="F625" s="55">
        <f t="shared" si="29"/>
        <v>2022</v>
      </c>
    </row>
    <row r="626" spans="1:6" x14ac:dyDescent="0.35">
      <c r="A626" s="69">
        <v>44841</v>
      </c>
      <c r="B626" s="54">
        <v>2118.4499999999998</v>
      </c>
      <c r="C626" s="54">
        <v>17314.650000000001</v>
      </c>
      <c r="D626" s="54">
        <f t="shared" si="27"/>
        <v>3.7927465105057705E-3</v>
      </c>
      <c r="E626" s="54">
        <f t="shared" si="28"/>
        <v>-4.2626957688177139E-3</v>
      </c>
      <c r="F626" s="55">
        <f t="shared" si="29"/>
        <v>2022</v>
      </c>
    </row>
    <row r="627" spans="1:6" x14ac:dyDescent="0.35">
      <c r="A627" s="69">
        <v>44844</v>
      </c>
      <c r="B627" s="54">
        <v>2126.5</v>
      </c>
      <c r="C627" s="54">
        <v>17241</v>
      </c>
      <c r="D627" s="54">
        <f t="shared" si="27"/>
        <v>-1.5496838808433569E-2</v>
      </c>
      <c r="E627" s="54">
        <f t="shared" si="28"/>
        <v>-1.504503966897207E-2</v>
      </c>
      <c r="F627" s="55">
        <f t="shared" si="29"/>
        <v>2022</v>
      </c>
    </row>
    <row r="628" spans="1:6" x14ac:dyDescent="0.35">
      <c r="A628" s="69">
        <v>44845</v>
      </c>
      <c r="B628" s="54">
        <v>2093.8000000000002</v>
      </c>
      <c r="C628" s="54">
        <v>16983.55</v>
      </c>
      <c r="D628" s="54">
        <f t="shared" si="27"/>
        <v>-2.9655161159965484E-3</v>
      </c>
      <c r="E628" s="54">
        <f t="shared" si="28"/>
        <v>8.21240045686677E-3</v>
      </c>
      <c r="F628" s="55">
        <f t="shared" si="29"/>
        <v>2022</v>
      </c>
    </row>
    <row r="629" spans="1:6" x14ac:dyDescent="0.35">
      <c r="A629" s="69">
        <v>44846</v>
      </c>
      <c r="B629" s="54">
        <v>2087.6</v>
      </c>
      <c r="C629" s="54">
        <v>17123.599999999999</v>
      </c>
      <c r="D629" s="54">
        <f t="shared" si="27"/>
        <v>-4.7913373538914934E-4</v>
      </c>
      <c r="E629" s="54">
        <f t="shared" si="28"/>
        <v>-6.4005233452741625E-3</v>
      </c>
      <c r="F629" s="55">
        <f t="shared" si="29"/>
        <v>2022</v>
      </c>
    </row>
    <row r="630" spans="1:6" x14ac:dyDescent="0.35">
      <c r="A630" s="69">
        <v>44847</v>
      </c>
      <c r="B630" s="54">
        <v>2086.6</v>
      </c>
      <c r="C630" s="54">
        <v>17014.349999999999</v>
      </c>
      <c r="D630" s="54">
        <f t="shared" si="27"/>
        <v>9.1120063706165485E-3</v>
      </c>
      <c r="E630" s="54">
        <f t="shared" si="28"/>
        <v>1.0020537033444438E-2</v>
      </c>
      <c r="F630" s="55">
        <f t="shared" si="29"/>
        <v>2022</v>
      </c>
    </row>
    <row r="631" spans="1:6" x14ac:dyDescent="0.35">
      <c r="A631" s="69">
        <v>44848</v>
      </c>
      <c r="B631" s="54">
        <v>2105.6999999999998</v>
      </c>
      <c r="C631" s="54">
        <v>17185.7</v>
      </c>
      <c r="D631" s="54">
        <f t="shared" si="27"/>
        <v>-2.2583300340040234E-3</v>
      </c>
      <c r="E631" s="54">
        <f t="shared" si="28"/>
        <v>7.3107072473373395E-3</v>
      </c>
      <c r="F631" s="55">
        <f t="shared" si="29"/>
        <v>2022</v>
      </c>
    </row>
    <row r="632" spans="1:6" x14ac:dyDescent="0.35">
      <c r="A632" s="69">
        <v>44851</v>
      </c>
      <c r="B632" s="54">
        <v>2100.9499999999998</v>
      </c>
      <c r="C632" s="54">
        <v>17311.8</v>
      </c>
      <c r="D632" s="54">
        <f t="shared" si="27"/>
        <v>6.6651891098968869E-3</v>
      </c>
      <c r="E632" s="54">
        <f t="shared" si="28"/>
        <v>1.0066538543434379E-2</v>
      </c>
      <c r="F632" s="55">
        <f t="shared" si="29"/>
        <v>2022</v>
      </c>
    </row>
    <row r="633" spans="1:6" x14ac:dyDescent="0.35">
      <c r="A633" s="69">
        <v>44852</v>
      </c>
      <c r="B633" s="54">
        <v>2115</v>
      </c>
      <c r="C633" s="54">
        <v>17486.95</v>
      </c>
      <c r="D633" s="54">
        <f t="shared" si="27"/>
        <v>-2.6275624960120591E-3</v>
      </c>
      <c r="E633" s="54">
        <f t="shared" si="28"/>
        <v>1.4457475831908754E-3</v>
      </c>
      <c r="F633" s="55">
        <f t="shared" si="29"/>
        <v>2022</v>
      </c>
    </row>
    <row r="634" spans="1:6" x14ac:dyDescent="0.35">
      <c r="A634" s="69">
        <v>44853</v>
      </c>
      <c r="B634" s="54">
        <v>2109.4499999999998</v>
      </c>
      <c r="C634" s="54">
        <v>17512.25</v>
      </c>
      <c r="D634" s="54">
        <f t="shared" si="27"/>
        <v>1.7830558015668876E-2</v>
      </c>
      <c r="E634" s="54">
        <f t="shared" si="28"/>
        <v>2.9478699197255992E-3</v>
      </c>
      <c r="F634" s="55">
        <f t="shared" si="29"/>
        <v>2022</v>
      </c>
    </row>
    <row r="635" spans="1:6" x14ac:dyDescent="0.35">
      <c r="A635" s="69">
        <v>44854</v>
      </c>
      <c r="B635" s="54">
        <v>2147.4</v>
      </c>
      <c r="C635" s="54">
        <v>17563.95</v>
      </c>
      <c r="D635" s="54">
        <f t="shared" si="27"/>
        <v>-4.9862966294921804E-2</v>
      </c>
      <c r="E635" s="54">
        <f t="shared" si="28"/>
        <v>7.0289770325899842E-4</v>
      </c>
      <c r="F635" s="55">
        <f t="shared" si="29"/>
        <v>2022</v>
      </c>
    </row>
    <row r="636" spans="1:6" x14ac:dyDescent="0.35">
      <c r="A636" s="69">
        <v>44855</v>
      </c>
      <c r="B636" s="54">
        <v>2042.95</v>
      </c>
      <c r="C636" s="54">
        <v>17576.3</v>
      </c>
      <c r="D636" s="54">
        <f t="shared" si="27"/>
        <v>-2.4259069224432631E-3</v>
      </c>
      <c r="E636" s="54">
        <f t="shared" si="28"/>
        <v>8.7490167091534895E-3</v>
      </c>
      <c r="F636" s="55">
        <f t="shared" si="29"/>
        <v>2022</v>
      </c>
    </row>
    <row r="637" spans="1:6" x14ac:dyDescent="0.35">
      <c r="A637" s="69">
        <v>44858</v>
      </c>
      <c r="B637" s="54">
        <v>2038</v>
      </c>
      <c r="C637" s="54">
        <v>17730.75</v>
      </c>
      <c r="D637" s="54">
        <f t="shared" si="27"/>
        <v>-1.7679996747601804E-3</v>
      </c>
      <c r="E637" s="54">
        <f t="shared" si="28"/>
        <v>-4.2049283283901789E-3</v>
      </c>
      <c r="F637" s="55">
        <f t="shared" si="29"/>
        <v>2022</v>
      </c>
    </row>
    <row r="638" spans="1:6" x14ac:dyDescent="0.35">
      <c r="A638" s="69">
        <v>44859</v>
      </c>
      <c r="B638" s="54">
        <v>2034.4</v>
      </c>
      <c r="C638" s="54">
        <v>17656.349999999999</v>
      </c>
      <c r="D638" s="54">
        <f t="shared" si="27"/>
        <v>-3.2192773408631296E-2</v>
      </c>
      <c r="E638" s="54">
        <f t="shared" si="28"/>
        <v>4.5545422059832148E-3</v>
      </c>
      <c r="F638" s="55">
        <f t="shared" si="29"/>
        <v>2022</v>
      </c>
    </row>
    <row r="639" spans="1:6" x14ac:dyDescent="0.35">
      <c r="A639" s="69">
        <v>44861</v>
      </c>
      <c r="B639" s="54">
        <v>1969.95</v>
      </c>
      <c r="C639" s="54">
        <v>17736.95</v>
      </c>
      <c r="D639" s="54">
        <f t="shared" si="27"/>
        <v>-1.1281961514996698E-2</v>
      </c>
      <c r="E639" s="54">
        <f t="shared" si="28"/>
        <v>2.8065749095631263E-3</v>
      </c>
      <c r="F639" s="55">
        <f t="shared" si="29"/>
        <v>2022</v>
      </c>
    </row>
    <row r="640" spans="1:6" x14ac:dyDescent="0.35">
      <c r="A640" s="69">
        <v>44862</v>
      </c>
      <c r="B640" s="54">
        <v>1947.85</v>
      </c>
      <c r="C640" s="54">
        <v>17786.8</v>
      </c>
      <c r="D640" s="54">
        <f t="shared" si="27"/>
        <v>1.5612781641197017E-2</v>
      </c>
      <c r="E640" s="54">
        <f t="shared" si="28"/>
        <v>1.2592696923282446E-2</v>
      </c>
      <c r="F640" s="55">
        <f t="shared" si="29"/>
        <v>2022</v>
      </c>
    </row>
    <row r="641" spans="1:6" x14ac:dyDescent="0.35">
      <c r="A641" s="69">
        <v>44865</v>
      </c>
      <c r="B641" s="54">
        <v>1978.5</v>
      </c>
      <c r="C641" s="54">
        <v>18012.2</v>
      </c>
      <c r="D641" s="54">
        <f t="shared" si="27"/>
        <v>1.6442297333696215E-2</v>
      </c>
      <c r="E641" s="54">
        <f t="shared" si="28"/>
        <v>7.3677789761327165E-3</v>
      </c>
      <c r="F641" s="55">
        <f t="shared" si="29"/>
        <v>2022</v>
      </c>
    </row>
    <row r="642" spans="1:6" x14ac:dyDescent="0.35">
      <c r="A642" s="69">
        <v>44866</v>
      </c>
      <c r="B642" s="54">
        <v>2011.3</v>
      </c>
      <c r="C642" s="54">
        <v>18145.400000000001</v>
      </c>
      <c r="D642" s="54">
        <f t="shared" ref="D642:D705" si="30">LN(B643/B642)</f>
        <v>1.227949066778576E-2</v>
      </c>
      <c r="E642" s="54">
        <f t="shared" ref="E642:E705" si="31">LN(C643/C642)</f>
        <v>-3.4531097777932285E-3</v>
      </c>
      <c r="F642" s="55">
        <f t="shared" ref="F642:F705" si="32">YEAR(A642)</f>
        <v>2022</v>
      </c>
    </row>
    <row r="643" spans="1:6" x14ac:dyDescent="0.35">
      <c r="A643" s="69">
        <v>44867</v>
      </c>
      <c r="B643" s="54">
        <v>2036.15</v>
      </c>
      <c r="C643" s="54">
        <v>18082.849999999999</v>
      </c>
      <c r="D643" s="54">
        <f t="shared" si="30"/>
        <v>-2.3076896241758751E-2</v>
      </c>
      <c r="E643" s="54">
        <f t="shared" si="31"/>
        <v>-1.6687172048770696E-3</v>
      </c>
      <c r="F643" s="55">
        <f t="shared" si="32"/>
        <v>2022</v>
      </c>
    </row>
    <row r="644" spans="1:6" x14ac:dyDescent="0.35">
      <c r="A644" s="69">
        <v>44868</v>
      </c>
      <c r="B644" s="54">
        <v>1989.7</v>
      </c>
      <c r="C644" s="54">
        <v>18052.7</v>
      </c>
      <c r="D644" s="54">
        <f t="shared" si="30"/>
        <v>-1.0051858849600349E-2</v>
      </c>
      <c r="E644" s="54">
        <f t="shared" si="31"/>
        <v>3.5637453962944995E-3</v>
      </c>
      <c r="F644" s="55">
        <f t="shared" si="32"/>
        <v>2022</v>
      </c>
    </row>
    <row r="645" spans="1:6" x14ac:dyDescent="0.35">
      <c r="A645" s="69">
        <v>44869</v>
      </c>
      <c r="B645" s="54">
        <v>1969.8</v>
      </c>
      <c r="C645" s="54">
        <v>18117.150000000001</v>
      </c>
      <c r="D645" s="54">
        <f t="shared" si="30"/>
        <v>5.6949924223210604E-3</v>
      </c>
      <c r="E645" s="54">
        <f t="shared" si="31"/>
        <v>4.7164249274147217E-3</v>
      </c>
      <c r="F645" s="55">
        <f t="shared" si="32"/>
        <v>2022</v>
      </c>
    </row>
    <row r="646" spans="1:6" x14ac:dyDescent="0.35">
      <c r="A646" s="69">
        <v>44872</v>
      </c>
      <c r="B646" s="54">
        <v>1981.05</v>
      </c>
      <c r="C646" s="54">
        <v>18202.8</v>
      </c>
      <c r="D646" s="54">
        <f t="shared" si="30"/>
        <v>-1.5977137889369174E-2</v>
      </c>
      <c r="E646" s="54">
        <f t="shared" si="31"/>
        <v>-2.5192671149599894E-3</v>
      </c>
      <c r="F646" s="55">
        <f t="shared" si="32"/>
        <v>2022</v>
      </c>
    </row>
    <row r="647" spans="1:6" x14ac:dyDescent="0.35">
      <c r="A647" s="69">
        <v>44874</v>
      </c>
      <c r="B647" s="54">
        <v>1949.65</v>
      </c>
      <c r="C647" s="54">
        <v>18157</v>
      </c>
      <c r="D647" s="54">
        <f t="shared" si="30"/>
        <v>-1.1088875294514971E-2</v>
      </c>
      <c r="E647" s="54">
        <f t="shared" si="31"/>
        <v>-7.1189626676594429E-3</v>
      </c>
      <c r="F647" s="55">
        <f t="shared" si="32"/>
        <v>2022</v>
      </c>
    </row>
    <row r="648" spans="1:6" x14ac:dyDescent="0.35">
      <c r="A648" s="69">
        <v>44875</v>
      </c>
      <c r="B648" s="54">
        <v>1928.15</v>
      </c>
      <c r="C648" s="54">
        <v>18028.2</v>
      </c>
      <c r="D648" s="54">
        <f t="shared" si="30"/>
        <v>4.982318960003896E-2</v>
      </c>
      <c r="E648" s="54">
        <f t="shared" si="31"/>
        <v>1.7676026972224347E-2</v>
      </c>
      <c r="F648" s="55">
        <f t="shared" si="32"/>
        <v>2022</v>
      </c>
    </row>
    <row r="649" spans="1:6" x14ac:dyDescent="0.35">
      <c r="A649" s="69">
        <v>44876</v>
      </c>
      <c r="B649" s="54">
        <v>2026.65</v>
      </c>
      <c r="C649" s="54">
        <v>18349.7</v>
      </c>
      <c r="D649" s="54">
        <f t="shared" si="30"/>
        <v>4.3081761837532829E-3</v>
      </c>
      <c r="E649" s="54">
        <f t="shared" si="31"/>
        <v>-1.1205368843472386E-3</v>
      </c>
      <c r="F649" s="55">
        <f t="shared" si="32"/>
        <v>2022</v>
      </c>
    </row>
    <row r="650" spans="1:6" x14ac:dyDescent="0.35">
      <c r="A650" s="69">
        <v>44879</v>
      </c>
      <c r="B650" s="54">
        <v>2035.4</v>
      </c>
      <c r="C650" s="54">
        <v>18329.150000000001</v>
      </c>
      <c r="D650" s="54">
        <f t="shared" si="30"/>
        <v>-1.0743364096820631E-2</v>
      </c>
      <c r="E650" s="54">
        <f t="shared" si="31"/>
        <v>4.0427414446846995E-3</v>
      </c>
      <c r="F650" s="55">
        <f t="shared" si="32"/>
        <v>2022</v>
      </c>
    </row>
    <row r="651" spans="1:6" x14ac:dyDescent="0.35">
      <c r="A651" s="69">
        <v>44880</v>
      </c>
      <c r="B651" s="54">
        <v>2013.65</v>
      </c>
      <c r="C651" s="54">
        <v>18403.400000000001</v>
      </c>
      <c r="D651" s="54">
        <f t="shared" si="30"/>
        <v>1.1259100198726878E-2</v>
      </c>
      <c r="E651" s="54">
        <f t="shared" si="31"/>
        <v>3.3955350399116779E-4</v>
      </c>
      <c r="F651" s="55">
        <f t="shared" si="32"/>
        <v>2022</v>
      </c>
    </row>
    <row r="652" spans="1:6" x14ac:dyDescent="0.35">
      <c r="A652" s="69">
        <v>44881</v>
      </c>
      <c r="B652" s="54">
        <v>2036.45</v>
      </c>
      <c r="C652" s="54">
        <v>18409.650000000001</v>
      </c>
      <c r="D652" s="54">
        <f t="shared" si="30"/>
        <v>-3.188097391851831E-2</v>
      </c>
      <c r="E652" s="54">
        <f t="shared" si="31"/>
        <v>-3.5778894904250048E-3</v>
      </c>
      <c r="F652" s="55">
        <f t="shared" si="32"/>
        <v>2022</v>
      </c>
    </row>
    <row r="653" spans="1:6" x14ac:dyDescent="0.35">
      <c r="A653" s="69">
        <v>44882</v>
      </c>
      <c r="B653" s="54">
        <v>1972.55</v>
      </c>
      <c r="C653" s="54">
        <v>18343.900000000001</v>
      </c>
      <c r="D653" s="54">
        <f t="shared" si="30"/>
        <v>-1.2215955949978385E-2</v>
      </c>
      <c r="E653" s="54">
        <f t="shared" si="31"/>
        <v>-1.9780888841003656E-3</v>
      </c>
      <c r="F653" s="55">
        <f t="shared" si="32"/>
        <v>2022</v>
      </c>
    </row>
    <row r="654" spans="1:6" x14ac:dyDescent="0.35">
      <c r="A654" s="69">
        <v>44883</v>
      </c>
      <c r="B654" s="54">
        <v>1948.6</v>
      </c>
      <c r="C654" s="54">
        <v>18307.650000000001</v>
      </c>
      <c r="D654" s="54">
        <f t="shared" si="30"/>
        <v>-1.1977427647374627E-2</v>
      </c>
      <c r="E654" s="54">
        <f t="shared" si="31"/>
        <v>-8.100385417505962E-3</v>
      </c>
      <c r="F654" s="55">
        <f t="shared" si="32"/>
        <v>2022</v>
      </c>
    </row>
    <row r="655" spans="1:6" x14ac:dyDescent="0.35">
      <c r="A655" s="69">
        <v>44886</v>
      </c>
      <c r="B655" s="54">
        <v>1925.4</v>
      </c>
      <c r="C655" s="54">
        <v>18159.95</v>
      </c>
      <c r="D655" s="54">
        <f t="shared" si="30"/>
        <v>-7.5337398188358128E-4</v>
      </c>
      <c r="E655" s="54">
        <f t="shared" si="31"/>
        <v>4.6286014321959227E-3</v>
      </c>
      <c r="F655" s="55">
        <f t="shared" si="32"/>
        <v>2022</v>
      </c>
    </row>
    <row r="656" spans="1:6" x14ac:dyDescent="0.35">
      <c r="A656" s="69">
        <v>44887</v>
      </c>
      <c r="B656" s="54">
        <v>1923.95</v>
      </c>
      <c r="C656" s="54">
        <v>18244.2</v>
      </c>
      <c r="D656" s="54">
        <f t="shared" si="30"/>
        <v>-1.2710705702609508E-2</v>
      </c>
      <c r="E656" s="54">
        <f t="shared" si="31"/>
        <v>1.2626177849523763E-3</v>
      </c>
      <c r="F656" s="55">
        <f t="shared" si="32"/>
        <v>2022</v>
      </c>
    </row>
    <row r="657" spans="1:6" x14ac:dyDescent="0.35">
      <c r="A657" s="69">
        <v>44888</v>
      </c>
      <c r="B657" s="54">
        <v>1899.65</v>
      </c>
      <c r="C657" s="54">
        <v>18267.25</v>
      </c>
      <c r="D657" s="54">
        <f t="shared" si="30"/>
        <v>2.1662436803523727E-2</v>
      </c>
      <c r="E657" s="54">
        <f t="shared" si="31"/>
        <v>1.1801063995242344E-2</v>
      </c>
      <c r="F657" s="55">
        <f t="shared" si="32"/>
        <v>2022</v>
      </c>
    </row>
    <row r="658" spans="1:6" x14ac:dyDescent="0.35">
      <c r="A658" s="69">
        <v>44889</v>
      </c>
      <c r="B658" s="54">
        <v>1941.25</v>
      </c>
      <c r="C658" s="54">
        <v>18484.099999999999</v>
      </c>
      <c r="D658" s="54">
        <f t="shared" si="30"/>
        <v>2.4576387030983655E-2</v>
      </c>
      <c r="E658" s="54">
        <f t="shared" si="31"/>
        <v>1.548780813877488E-3</v>
      </c>
      <c r="F658" s="55">
        <f t="shared" si="32"/>
        <v>2022</v>
      </c>
    </row>
    <row r="659" spans="1:6" x14ac:dyDescent="0.35">
      <c r="A659" s="69">
        <v>44890</v>
      </c>
      <c r="B659" s="54">
        <v>1989.55</v>
      </c>
      <c r="C659" s="54">
        <v>18512.75</v>
      </c>
      <c r="D659" s="54">
        <f t="shared" si="30"/>
        <v>1.1046798331178418E-2</v>
      </c>
      <c r="E659" s="54">
        <f t="shared" si="31"/>
        <v>2.6972005940332764E-3</v>
      </c>
      <c r="F659" s="55">
        <f t="shared" si="32"/>
        <v>2022</v>
      </c>
    </row>
    <row r="660" spans="1:6" x14ac:dyDescent="0.35">
      <c r="A660" s="69">
        <v>44893</v>
      </c>
      <c r="B660" s="54">
        <v>2011.65</v>
      </c>
      <c r="C660" s="54">
        <v>18562.75</v>
      </c>
      <c r="D660" s="54">
        <f t="shared" si="30"/>
        <v>-3.984763572115504E-3</v>
      </c>
      <c r="E660" s="54">
        <f t="shared" si="31"/>
        <v>2.9746557780997683E-3</v>
      </c>
      <c r="F660" s="55">
        <f t="shared" si="32"/>
        <v>2022</v>
      </c>
    </row>
    <row r="661" spans="1:6" x14ac:dyDescent="0.35">
      <c r="A661" s="69">
        <v>44894</v>
      </c>
      <c r="B661" s="54">
        <v>2003.65</v>
      </c>
      <c r="C661" s="54">
        <v>18618.05</v>
      </c>
      <c r="D661" s="54">
        <f t="shared" si="30"/>
        <v>6.7646804756724818E-3</v>
      </c>
      <c r="E661" s="54">
        <f t="shared" si="31"/>
        <v>7.5074463545009001E-3</v>
      </c>
      <c r="F661" s="55">
        <f t="shared" si="32"/>
        <v>2022</v>
      </c>
    </row>
    <row r="662" spans="1:6" x14ac:dyDescent="0.35">
      <c r="A662" s="69">
        <v>44895</v>
      </c>
      <c r="B662" s="54">
        <v>2017.25</v>
      </c>
      <c r="C662" s="54">
        <v>18758.349999999999</v>
      </c>
      <c r="D662" s="54">
        <f t="shared" si="30"/>
        <v>5.6825121361698247E-2</v>
      </c>
      <c r="E662" s="54">
        <f t="shared" si="31"/>
        <v>2.8825558908002974E-3</v>
      </c>
      <c r="F662" s="55">
        <f t="shared" si="32"/>
        <v>2022</v>
      </c>
    </row>
    <row r="663" spans="1:6" x14ac:dyDescent="0.35">
      <c r="A663" s="69">
        <v>44896</v>
      </c>
      <c r="B663" s="54">
        <v>2135.1999999999998</v>
      </c>
      <c r="C663" s="54">
        <v>18812.5</v>
      </c>
      <c r="D663" s="54">
        <f t="shared" si="30"/>
        <v>1.0320297537205951E-2</v>
      </c>
      <c r="E663" s="54">
        <f t="shared" si="31"/>
        <v>-6.2065965491442813E-3</v>
      </c>
      <c r="F663" s="55">
        <f t="shared" si="32"/>
        <v>2022</v>
      </c>
    </row>
    <row r="664" spans="1:6" x14ac:dyDescent="0.35">
      <c r="A664" s="69">
        <v>44897</v>
      </c>
      <c r="B664" s="54">
        <v>2157.35</v>
      </c>
      <c r="C664" s="54">
        <v>18696.099999999999</v>
      </c>
      <c r="D664" s="54">
        <f t="shared" si="30"/>
        <v>-9.9691040611124132E-3</v>
      </c>
      <c r="E664" s="54">
        <f t="shared" si="31"/>
        <v>2.6472605687367874E-4</v>
      </c>
      <c r="F664" s="55">
        <f t="shared" si="32"/>
        <v>2022</v>
      </c>
    </row>
    <row r="665" spans="1:6" x14ac:dyDescent="0.35">
      <c r="A665" s="69">
        <v>44900</v>
      </c>
      <c r="B665" s="54">
        <v>2135.9499999999998</v>
      </c>
      <c r="C665" s="54">
        <v>18701.05</v>
      </c>
      <c r="D665" s="54">
        <f t="shared" si="30"/>
        <v>-1.9071604032343269E-2</v>
      </c>
      <c r="E665" s="54">
        <f t="shared" si="31"/>
        <v>-3.1223414523407593E-3</v>
      </c>
      <c r="F665" s="55">
        <f t="shared" si="32"/>
        <v>2022</v>
      </c>
    </row>
    <row r="666" spans="1:6" x14ac:dyDescent="0.35">
      <c r="A666" s="69">
        <v>44901</v>
      </c>
      <c r="B666" s="54">
        <v>2095.6</v>
      </c>
      <c r="C666" s="54">
        <v>18642.75</v>
      </c>
      <c r="D666" s="54">
        <f t="shared" si="30"/>
        <v>-1.2170535620255179E-2</v>
      </c>
      <c r="E666" s="54">
        <f t="shared" si="31"/>
        <v>-4.4216639141222676E-3</v>
      </c>
      <c r="F666" s="55">
        <f t="shared" si="32"/>
        <v>2022</v>
      </c>
    </row>
    <row r="667" spans="1:6" x14ac:dyDescent="0.35">
      <c r="A667" s="69">
        <v>44902</v>
      </c>
      <c r="B667" s="54">
        <v>2070.25</v>
      </c>
      <c r="C667" s="54">
        <v>18560.5</v>
      </c>
      <c r="D667" s="54">
        <f t="shared" si="30"/>
        <v>4.9148435359459937E-3</v>
      </c>
      <c r="E667" s="54">
        <f t="shared" si="31"/>
        <v>2.6284759354648821E-3</v>
      </c>
      <c r="F667" s="55">
        <f t="shared" si="32"/>
        <v>2022</v>
      </c>
    </row>
    <row r="668" spans="1:6" x14ac:dyDescent="0.35">
      <c r="A668" s="69">
        <v>44903</v>
      </c>
      <c r="B668" s="54">
        <v>2080.4499999999998</v>
      </c>
      <c r="C668" s="54">
        <v>18609.349999999999</v>
      </c>
      <c r="D668" s="54">
        <f t="shared" si="30"/>
        <v>-4.078794797862937E-2</v>
      </c>
      <c r="E668" s="54">
        <f t="shared" si="31"/>
        <v>-6.0772111756395393E-3</v>
      </c>
      <c r="F668" s="55">
        <f t="shared" si="32"/>
        <v>2022</v>
      </c>
    </row>
    <row r="669" spans="1:6" x14ac:dyDescent="0.35">
      <c r="A669" s="69">
        <v>44904</v>
      </c>
      <c r="B669" s="54">
        <v>1997.3</v>
      </c>
      <c r="C669" s="54">
        <v>18496.599999999999</v>
      </c>
      <c r="D669" s="54">
        <f t="shared" si="30"/>
        <v>8.0076076547513605E-4</v>
      </c>
      <c r="E669" s="54">
        <f t="shared" si="31"/>
        <v>2.9734752494251067E-5</v>
      </c>
      <c r="F669" s="55">
        <f t="shared" si="32"/>
        <v>2022</v>
      </c>
    </row>
    <row r="670" spans="1:6" x14ac:dyDescent="0.35">
      <c r="A670" s="69">
        <v>44907</v>
      </c>
      <c r="B670" s="54">
        <v>1998.9</v>
      </c>
      <c r="C670" s="54">
        <v>18497.150000000001</v>
      </c>
      <c r="D670" s="54">
        <f t="shared" si="30"/>
        <v>-5.0404470077637792E-3</v>
      </c>
      <c r="E670" s="54">
        <f t="shared" si="31"/>
        <v>5.9749296136281512E-3</v>
      </c>
      <c r="F670" s="55">
        <f t="shared" si="32"/>
        <v>2022</v>
      </c>
    </row>
    <row r="671" spans="1:6" x14ac:dyDescent="0.35">
      <c r="A671" s="69">
        <v>44908</v>
      </c>
      <c r="B671" s="54">
        <v>1988.85</v>
      </c>
      <c r="C671" s="54">
        <v>18608</v>
      </c>
      <c r="D671" s="54">
        <f t="shared" si="30"/>
        <v>6.0155080263252182E-3</v>
      </c>
      <c r="E671" s="54">
        <f t="shared" si="31"/>
        <v>2.8066766840707338E-3</v>
      </c>
      <c r="F671" s="55">
        <f t="shared" si="32"/>
        <v>2022</v>
      </c>
    </row>
    <row r="672" spans="1:6" x14ac:dyDescent="0.35">
      <c r="A672" s="69">
        <v>44909</v>
      </c>
      <c r="B672" s="54">
        <v>2000.85</v>
      </c>
      <c r="C672" s="54">
        <v>18660.3</v>
      </c>
      <c r="D672" s="54">
        <f t="shared" si="30"/>
        <v>-1.9429355640778218E-2</v>
      </c>
      <c r="E672" s="54">
        <f t="shared" si="31"/>
        <v>-1.3238152933783446E-2</v>
      </c>
      <c r="F672" s="55">
        <f t="shared" si="32"/>
        <v>2022</v>
      </c>
    </row>
    <row r="673" spans="1:6" x14ac:dyDescent="0.35">
      <c r="A673" s="69">
        <v>44910</v>
      </c>
      <c r="B673" s="54">
        <v>1962.35</v>
      </c>
      <c r="C673" s="54">
        <v>18414.900000000001</v>
      </c>
      <c r="D673" s="54">
        <f t="shared" si="30"/>
        <v>-2.5391636375129055E-2</v>
      </c>
      <c r="E673" s="54">
        <f t="shared" si="31"/>
        <v>-7.9544851721632479E-3</v>
      </c>
      <c r="F673" s="55">
        <f t="shared" si="32"/>
        <v>2022</v>
      </c>
    </row>
    <row r="674" spans="1:6" x14ac:dyDescent="0.35">
      <c r="A674" s="69">
        <v>44911</v>
      </c>
      <c r="B674" s="54">
        <v>1913.15</v>
      </c>
      <c r="C674" s="54">
        <v>18269</v>
      </c>
      <c r="D674" s="54">
        <f t="shared" si="30"/>
        <v>5.1613690515446321E-3</v>
      </c>
      <c r="E674" s="54">
        <f t="shared" si="31"/>
        <v>8.2558261417479597E-3</v>
      </c>
      <c r="F674" s="55">
        <f t="shared" si="32"/>
        <v>2022</v>
      </c>
    </row>
    <row r="675" spans="1:6" x14ac:dyDescent="0.35">
      <c r="A675" s="69">
        <v>44914</v>
      </c>
      <c r="B675" s="54">
        <v>1923.05</v>
      </c>
      <c r="C675" s="54">
        <v>18420.45</v>
      </c>
      <c r="D675" s="54">
        <f t="shared" si="30"/>
        <v>1.427581521008682E-2</v>
      </c>
      <c r="E675" s="54">
        <f t="shared" si="31"/>
        <v>-1.9100282258184755E-3</v>
      </c>
      <c r="F675" s="55">
        <f t="shared" si="32"/>
        <v>2022</v>
      </c>
    </row>
    <row r="676" spans="1:6" x14ac:dyDescent="0.35">
      <c r="A676" s="69">
        <v>44915</v>
      </c>
      <c r="B676" s="54">
        <v>1950.7</v>
      </c>
      <c r="C676" s="54">
        <v>18385.3</v>
      </c>
      <c r="D676" s="54">
        <f t="shared" si="30"/>
        <v>4.4245030683456544E-3</v>
      </c>
      <c r="E676" s="54">
        <f t="shared" si="31"/>
        <v>-1.0179289959781981E-2</v>
      </c>
      <c r="F676" s="55">
        <f t="shared" si="32"/>
        <v>2022</v>
      </c>
    </row>
    <row r="677" spans="1:6" x14ac:dyDescent="0.35">
      <c r="A677" s="69">
        <v>44916</v>
      </c>
      <c r="B677" s="54">
        <v>1959.35</v>
      </c>
      <c r="C677" s="54">
        <v>18199.099999999999</v>
      </c>
      <c r="D677" s="54">
        <f t="shared" si="30"/>
        <v>1.5094626222485107E-2</v>
      </c>
      <c r="E677" s="54">
        <f t="shared" si="31"/>
        <v>-3.950294801933504E-3</v>
      </c>
      <c r="F677" s="55">
        <f t="shared" si="32"/>
        <v>2022</v>
      </c>
    </row>
    <row r="678" spans="1:6" x14ac:dyDescent="0.35">
      <c r="A678" s="69">
        <v>44917</v>
      </c>
      <c r="B678" s="54">
        <v>1989.15</v>
      </c>
      <c r="C678" s="54">
        <v>18127.349999999999</v>
      </c>
      <c r="D678" s="54">
        <f t="shared" si="30"/>
        <v>-3.5668725140249262E-2</v>
      </c>
      <c r="E678" s="54">
        <f t="shared" si="31"/>
        <v>-1.7841440690702759E-2</v>
      </c>
      <c r="F678" s="55">
        <f t="shared" si="32"/>
        <v>2022</v>
      </c>
    </row>
    <row r="679" spans="1:6" x14ac:dyDescent="0.35">
      <c r="A679" s="69">
        <v>44918</v>
      </c>
      <c r="B679" s="54">
        <v>1919.45</v>
      </c>
      <c r="C679" s="54">
        <v>17806.8</v>
      </c>
      <c r="D679" s="54">
        <f t="shared" si="30"/>
        <v>-1.407643212464592E-3</v>
      </c>
      <c r="E679" s="54">
        <f t="shared" si="31"/>
        <v>1.1602133416483444E-2</v>
      </c>
      <c r="F679" s="55">
        <f t="shared" si="32"/>
        <v>2022</v>
      </c>
    </row>
    <row r="680" spans="1:6" x14ac:dyDescent="0.35">
      <c r="A680" s="69">
        <v>44921</v>
      </c>
      <c r="B680" s="54">
        <v>1916.75</v>
      </c>
      <c r="C680" s="54">
        <v>18014.599999999999</v>
      </c>
      <c r="D680" s="54">
        <f t="shared" si="30"/>
        <v>1.308732641226642E-2</v>
      </c>
      <c r="E680" s="54">
        <f t="shared" si="31"/>
        <v>6.5123380415187272E-3</v>
      </c>
      <c r="F680" s="55">
        <f t="shared" si="32"/>
        <v>2022</v>
      </c>
    </row>
    <row r="681" spans="1:6" x14ac:dyDescent="0.35">
      <c r="A681" s="69">
        <v>44922</v>
      </c>
      <c r="B681" s="54">
        <v>1942</v>
      </c>
      <c r="C681" s="54">
        <v>18132.3</v>
      </c>
      <c r="D681" s="54">
        <f t="shared" si="30"/>
        <v>-8.2423248020866444E-4</v>
      </c>
      <c r="E681" s="54">
        <f t="shared" si="31"/>
        <v>-5.4061808305026044E-4</v>
      </c>
      <c r="F681" s="55">
        <f t="shared" si="32"/>
        <v>2022</v>
      </c>
    </row>
    <row r="682" spans="1:6" x14ac:dyDescent="0.35">
      <c r="A682" s="69">
        <v>44923</v>
      </c>
      <c r="B682" s="54">
        <v>1940.4</v>
      </c>
      <c r="C682" s="54">
        <v>18122.5</v>
      </c>
      <c r="D682" s="54">
        <f t="shared" si="30"/>
        <v>-4.5454623716747224E-3</v>
      </c>
      <c r="E682" s="54">
        <f t="shared" si="31"/>
        <v>3.7727060871833766E-3</v>
      </c>
      <c r="F682" s="55">
        <f t="shared" si="32"/>
        <v>2022</v>
      </c>
    </row>
    <row r="683" spans="1:6" x14ac:dyDescent="0.35">
      <c r="A683" s="69">
        <v>44924</v>
      </c>
      <c r="B683" s="54">
        <v>1931.6</v>
      </c>
      <c r="C683" s="54">
        <v>18191</v>
      </c>
      <c r="D683" s="54">
        <f t="shared" si="30"/>
        <v>2.1105178410693072E-2</v>
      </c>
      <c r="E683" s="54">
        <f t="shared" si="31"/>
        <v>-4.7222531914706822E-3</v>
      </c>
      <c r="F683" s="55">
        <f t="shared" si="32"/>
        <v>2022</v>
      </c>
    </row>
    <row r="684" spans="1:6" x14ac:dyDescent="0.35">
      <c r="A684" s="69">
        <v>44925</v>
      </c>
      <c r="B684" s="54">
        <v>1972.8</v>
      </c>
      <c r="C684" s="54">
        <v>18105.3</v>
      </c>
      <c r="D684" s="54">
        <f t="shared" si="30"/>
        <v>-1.7249255963781198E-3</v>
      </c>
      <c r="E684" s="54">
        <f t="shared" si="31"/>
        <v>5.0767612877239332E-3</v>
      </c>
      <c r="F684" s="55">
        <f t="shared" si="32"/>
        <v>2022</v>
      </c>
    </row>
    <row r="685" spans="1:6" x14ac:dyDescent="0.35">
      <c r="A685" s="69">
        <v>44928</v>
      </c>
      <c r="B685" s="54">
        <v>1969.4</v>
      </c>
      <c r="C685" s="54">
        <v>18197.45</v>
      </c>
      <c r="D685" s="54">
        <f t="shared" si="30"/>
        <v>1.7565944785839543E-2</v>
      </c>
      <c r="E685" s="54">
        <f t="shared" si="31"/>
        <v>1.9269838518420508E-3</v>
      </c>
      <c r="F685" s="55">
        <f t="shared" si="32"/>
        <v>2023</v>
      </c>
    </row>
    <row r="686" spans="1:6" x14ac:dyDescent="0.35">
      <c r="A686" s="69">
        <v>44929</v>
      </c>
      <c r="B686" s="54">
        <v>2004.3</v>
      </c>
      <c r="C686" s="54">
        <v>18232.55</v>
      </c>
      <c r="D686" s="54">
        <f t="shared" si="30"/>
        <v>1.0222782733620042E-3</v>
      </c>
      <c r="E686" s="54">
        <f t="shared" si="31"/>
        <v>-1.0453431463642316E-2</v>
      </c>
      <c r="F686" s="55">
        <f t="shared" si="32"/>
        <v>2023</v>
      </c>
    </row>
    <row r="687" spans="1:6" x14ac:dyDescent="0.35">
      <c r="A687" s="69">
        <v>44930</v>
      </c>
      <c r="B687" s="54">
        <v>2006.35</v>
      </c>
      <c r="C687" s="54">
        <v>18042.95</v>
      </c>
      <c r="D687" s="54">
        <f t="shared" si="30"/>
        <v>3.5076844224196245E-3</v>
      </c>
      <c r="E687" s="54">
        <f t="shared" si="31"/>
        <v>-2.8194751035864399E-3</v>
      </c>
      <c r="F687" s="55">
        <f t="shared" si="32"/>
        <v>2023</v>
      </c>
    </row>
    <row r="688" spans="1:6" x14ac:dyDescent="0.35">
      <c r="A688" s="69">
        <v>44931</v>
      </c>
      <c r="B688" s="54">
        <v>2013.4</v>
      </c>
      <c r="C688" s="54">
        <v>17992.150000000001</v>
      </c>
      <c r="D688" s="54">
        <f t="shared" si="30"/>
        <v>-1.7890281967343647E-2</v>
      </c>
      <c r="E688" s="54">
        <f t="shared" si="31"/>
        <v>-7.4027717595589147E-3</v>
      </c>
      <c r="F688" s="55">
        <f t="shared" si="32"/>
        <v>2023</v>
      </c>
    </row>
    <row r="689" spans="1:6" x14ac:dyDescent="0.35">
      <c r="A689" s="69">
        <v>44932</v>
      </c>
      <c r="B689" s="54">
        <v>1977.7</v>
      </c>
      <c r="C689" s="54">
        <v>17859.45</v>
      </c>
      <c r="D689" s="54">
        <f t="shared" si="30"/>
        <v>1.0962595958893829E-2</v>
      </c>
      <c r="E689" s="54">
        <f t="shared" si="31"/>
        <v>1.3445454515296811E-2</v>
      </c>
      <c r="F689" s="55">
        <f t="shared" si="32"/>
        <v>2023</v>
      </c>
    </row>
    <row r="690" spans="1:6" x14ac:dyDescent="0.35">
      <c r="A690" s="69">
        <v>44935</v>
      </c>
      <c r="B690" s="54">
        <v>1999.5</v>
      </c>
      <c r="C690" s="54">
        <v>18101.2</v>
      </c>
      <c r="D690" s="54">
        <f t="shared" si="30"/>
        <v>-5.3908486348764233E-3</v>
      </c>
      <c r="E690" s="54">
        <f t="shared" si="31"/>
        <v>-1.0387331059448432E-2</v>
      </c>
      <c r="F690" s="55">
        <f t="shared" si="32"/>
        <v>2023</v>
      </c>
    </row>
    <row r="691" spans="1:6" x14ac:dyDescent="0.35">
      <c r="A691" s="69">
        <v>44936</v>
      </c>
      <c r="B691" s="54">
        <v>1988.75</v>
      </c>
      <c r="C691" s="54">
        <v>17914.150000000001</v>
      </c>
      <c r="D691" s="54">
        <f t="shared" si="30"/>
        <v>2.0036760173818103E-2</v>
      </c>
      <c r="E691" s="54">
        <f t="shared" si="31"/>
        <v>-1.0304428324909225E-3</v>
      </c>
      <c r="F691" s="55">
        <f t="shared" si="32"/>
        <v>2023</v>
      </c>
    </row>
    <row r="692" spans="1:6" x14ac:dyDescent="0.35">
      <c r="A692" s="69">
        <v>44937</v>
      </c>
      <c r="B692" s="54">
        <v>2029</v>
      </c>
      <c r="C692" s="54">
        <v>17895.7</v>
      </c>
      <c r="D692" s="54">
        <f t="shared" si="30"/>
        <v>-7.2216765357320288E-3</v>
      </c>
      <c r="E692" s="54">
        <f t="shared" si="31"/>
        <v>-2.097674030007273E-3</v>
      </c>
      <c r="F692" s="55">
        <f t="shared" si="32"/>
        <v>2023</v>
      </c>
    </row>
    <row r="693" spans="1:6" x14ac:dyDescent="0.35">
      <c r="A693" s="69">
        <v>44938</v>
      </c>
      <c r="B693" s="54">
        <v>2014.4</v>
      </c>
      <c r="C693" s="54">
        <v>17858.2</v>
      </c>
      <c r="D693" s="54">
        <f t="shared" si="30"/>
        <v>1.0297277164004318E-2</v>
      </c>
      <c r="E693" s="54">
        <f t="shared" si="31"/>
        <v>5.4949488811592336E-3</v>
      </c>
      <c r="F693" s="55">
        <f t="shared" si="32"/>
        <v>2023</v>
      </c>
    </row>
    <row r="694" spans="1:6" x14ac:dyDescent="0.35">
      <c r="A694" s="69">
        <v>44939</v>
      </c>
      <c r="B694" s="54">
        <v>2035.25</v>
      </c>
      <c r="C694" s="54">
        <v>17956.599999999999</v>
      </c>
      <c r="D694" s="54">
        <f t="shared" si="30"/>
        <v>2.2821255748316583E-3</v>
      </c>
      <c r="E694" s="54">
        <f t="shared" si="31"/>
        <v>-3.44477342271146E-3</v>
      </c>
      <c r="F694" s="55">
        <f t="shared" si="32"/>
        <v>2023</v>
      </c>
    </row>
    <row r="695" spans="1:6" x14ac:dyDescent="0.35">
      <c r="A695" s="69">
        <v>44942</v>
      </c>
      <c r="B695" s="54">
        <v>2039.9</v>
      </c>
      <c r="C695" s="54">
        <v>17894.849999999999</v>
      </c>
      <c r="D695" s="54">
        <f t="shared" si="30"/>
        <v>7.8404473071177691E-4</v>
      </c>
      <c r="E695" s="54">
        <f t="shared" si="31"/>
        <v>8.8155315999272829E-3</v>
      </c>
      <c r="F695" s="55">
        <f t="shared" si="32"/>
        <v>2023</v>
      </c>
    </row>
    <row r="696" spans="1:6" x14ac:dyDescent="0.35">
      <c r="A696" s="69">
        <v>44943</v>
      </c>
      <c r="B696" s="54">
        <v>2041.5</v>
      </c>
      <c r="C696" s="54">
        <v>18053.3</v>
      </c>
      <c r="D696" s="54">
        <f t="shared" si="30"/>
        <v>2.714900592601949E-3</v>
      </c>
      <c r="E696" s="54">
        <f t="shared" si="31"/>
        <v>6.1874397571668738E-3</v>
      </c>
      <c r="F696" s="55">
        <f t="shared" si="32"/>
        <v>2023</v>
      </c>
    </row>
    <row r="697" spans="1:6" x14ac:dyDescent="0.35">
      <c r="A697" s="69">
        <v>44944</v>
      </c>
      <c r="B697" s="54">
        <v>2047.05</v>
      </c>
      <c r="C697" s="54">
        <v>18165.349999999999</v>
      </c>
      <c r="D697" s="54">
        <f t="shared" si="30"/>
        <v>9.867861523066037E-3</v>
      </c>
      <c r="E697" s="54">
        <f t="shared" si="31"/>
        <v>-3.1703874024205901E-3</v>
      </c>
      <c r="F697" s="55">
        <f t="shared" si="32"/>
        <v>2023</v>
      </c>
    </row>
    <row r="698" spans="1:6" x14ac:dyDescent="0.35">
      <c r="A698" s="69">
        <v>44945</v>
      </c>
      <c r="B698" s="54">
        <v>2067.35</v>
      </c>
      <c r="C698" s="54">
        <v>18107.849999999999</v>
      </c>
      <c r="D698" s="54">
        <f t="shared" si="30"/>
        <v>-2.0870747779300629E-2</v>
      </c>
      <c r="E698" s="54">
        <f t="shared" si="31"/>
        <v>-4.4388555124240574E-3</v>
      </c>
      <c r="F698" s="55">
        <f t="shared" si="32"/>
        <v>2023</v>
      </c>
    </row>
    <row r="699" spans="1:6" x14ac:dyDescent="0.35">
      <c r="A699" s="69">
        <v>44946</v>
      </c>
      <c r="B699" s="54">
        <v>2024.65</v>
      </c>
      <c r="C699" s="54">
        <v>18027.650000000001</v>
      </c>
      <c r="D699" s="54">
        <f t="shared" si="30"/>
        <v>1.6726442682601705E-2</v>
      </c>
      <c r="E699" s="54">
        <f t="shared" si="31"/>
        <v>5.0295849424065783E-3</v>
      </c>
      <c r="F699" s="55">
        <f t="shared" si="32"/>
        <v>2023</v>
      </c>
    </row>
    <row r="700" spans="1:6" x14ac:dyDescent="0.35">
      <c r="A700" s="69">
        <v>44949</v>
      </c>
      <c r="B700" s="54">
        <v>2058.8000000000002</v>
      </c>
      <c r="C700" s="54">
        <v>18118.55</v>
      </c>
      <c r="D700" s="54">
        <f t="shared" si="30"/>
        <v>2.7971172205232937E-2</v>
      </c>
      <c r="E700" s="54">
        <f t="shared" si="31"/>
        <v>-1.3798108831454769E-5</v>
      </c>
      <c r="F700" s="55">
        <f t="shared" si="32"/>
        <v>2023</v>
      </c>
    </row>
    <row r="701" spans="1:6" x14ac:dyDescent="0.35">
      <c r="A701" s="69">
        <v>44950</v>
      </c>
      <c r="B701" s="54">
        <v>2117.1999999999998</v>
      </c>
      <c r="C701" s="54">
        <v>18118.3</v>
      </c>
      <c r="D701" s="54">
        <f t="shared" si="30"/>
        <v>-2.2545853724417638E-2</v>
      </c>
      <c r="E701" s="54">
        <f t="shared" si="31"/>
        <v>-1.2571586207360697E-2</v>
      </c>
      <c r="F701" s="55">
        <f t="shared" si="32"/>
        <v>2023</v>
      </c>
    </row>
    <row r="702" spans="1:6" x14ac:dyDescent="0.35">
      <c r="A702" s="69">
        <v>44951</v>
      </c>
      <c r="B702" s="54">
        <v>2070</v>
      </c>
      <c r="C702" s="54">
        <v>17891.95</v>
      </c>
      <c r="D702" s="54">
        <f t="shared" si="30"/>
        <v>1.1587486812184486E-3</v>
      </c>
      <c r="E702" s="54">
        <f t="shared" si="31"/>
        <v>-1.6204860425410094E-2</v>
      </c>
      <c r="F702" s="55">
        <f t="shared" si="32"/>
        <v>2023</v>
      </c>
    </row>
    <row r="703" spans="1:6" x14ac:dyDescent="0.35">
      <c r="A703" s="69">
        <v>44953</v>
      </c>
      <c r="B703" s="54">
        <v>2072.4</v>
      </c>
      <c r="C703" s="54">
        <v>17604.349999999999</v>
      </c>
      <c r="D703" s="54">
        <f t="shared" si="30"/>
        <v>2.1221778700431772E-2</v>
      </c>
      <c r="E703" s="54">
        <f t="shared" si="31"/>
        <v>2.5302609284759267E-3</v>
      </c>
      <c r="F703" s="55">
        <f t="shared" si="32"/>
        <v>2023</v>
      </c>
    </row>
    <row r="704" spans="1:6" x14ac:dyDescent="0.35">
      <c r="A704" s="69">
        <v>44956</v>
      </c>
      <c r="B704" s="54">
        <v>2116.85</v>
      </c>
      <c r="C704" s="54">
        <v>17648.95</v>
      </c>
      <c r="D704" s="54">
        <f t="shared" si="30"/>
        <v>-2.102878439316468E-2</v>
      </c>
      <c r="E704" s="54">
        <f t="shared" si="31"/>
        <v>7.4764029525351266E-4</v>
      </c>
      <c r="F704" s="55">
        <f t="shared" si="32"/>
        <v>2023</v>
      </c>
    </row>
    <row r="705" spans="1:6" x14ac:dyDescent="0.35">
      <c r="A705" s="69">
        <v>44957</v>
      </c>
      <c r="B705" s="54">
        <v>2072.8000000000002</v>
      </c>
      <c r="C705" s="54">
        <v>17662.150000000001</v>
      </c>
      <c r="D705" s="54">
        <f t="shared" si="30"/>
        <v>-3.1363466643910505E-4</v>
      </c>
      <c r="E705" s="54">
        <f t="shared" si="31"/>
        <v>-2.5993220119003902E-3</v>
      </c>
      <c r="F705" s="55">
        <f t="shared" si="32"/>
        <v>2023</v>
      </c>
    </row>
    <row r="706" spans="1:6" x14ac:dyDescent="0.35">
      <c r="A706" s="69">
        <v>44958</v>
      </c>
      <c r="B706" s="54">
        <v>2072.15</v>
      </c>
      <c r="C706" s="54">
        <v>17616.3</v>
      </c>
      <c r="D706" s="54">
        <f t="shared" ref="D706:D769" si="33">LN(B707/B706)</f>
        <v>1.1348626459380028E-2</v>
      </c>
      <c r="E706" s="54">
        <f t="shared" ref="E706:E769" si="34">LN(C707/C706)</f>
        <v>-3.3497319108321866E-4</v>
      </c>
      <c r="F706" s="55">
        <f t="shared" ref="F706:F769" si="35">YEAR(A706)</f>
        <v>2023</v>
      </c>
    </row>
    <row r="707" spans="1:6" x14ac:dyDescent="0.35">
      <c r="A707" s="69">
        <v>44959</v>
      </c>
      <c r="B707" s="54">
        <v>2095.8000000000002</v>
      </c>
      <c r="C707" s="54">
        <v>17610.400000000001</v>
      </c>
      <c r="D707" s="54">
        <f t="shared" si="33"/>
        <v>-4.0639772889805512E-3</v>
      </c>
      <c r="E707" s="54">
        <f t="shared" si="34"/>
        <v>1.3740736629151006E-2</v>
      </c>
      <c r="F707" s="55">
        <f t="shared" si="35"/>
        <v>2023</v>
      </c>
    </row>
    <row r="708" spans="1:6" x14ac:dyDescent="0.35">
      <c r="A708" s="69">
        <v>44960</v>
      </c>
      <c r="B708" s="54">
        <v>2087.3000000000002</v>
      </c>
      <c r="C708" s="54">
        <v>17854.05</v>
      </c>
      <c r="D708" s="54">
        <f t="shared" si="33"/>
        <v>3.491239587184555E-3</v>
      </c>
      <c r="E708" s="54">
        <f t="shared" si="34"/>
        <v>-5.0226602101452831E-3</v>
      </c>
      <c r="F708" s="55">
        <f t="shared" si="35"/>
        <v>2023</v>
      </c>
    </row>
    <row r="709" spans="1:6" x14ac:dyDescent="0.35">
      <c r="A709" s="69">
        <v>44963</v>
      </c>
      <c r="B709" s="54">
        <v>2094.6</v>
      </c>
      <c r="C709" s="54">
        <v>17764.599999999999</v>
      </c>
      <c r="D709" s="54">
        <f t="shared" si="33"/>
        <v>-1.6484504718385954E-3</v>
      </c>
      <c r="E709" s="54">
        <f t="shared" si="34"/>
        <v>-2.4291213288073102E-3</v>
      </c>
      <c r="F709" s="55">
        <f t="shared" si="35"/>
        <v>2023</v>
      </c>
    </row>
    <row r="710" spans="1:6" x14ac:dyDescent="0.35">
      <c r="A710" s="69">
        <v>44964</v>
      </c>
      <c r="B710" s="54">
        <v>2091.15</v>
      </c>
      <c r="C710" s="54">
        <v>17721.5</v>
      </c>
      <c r="D710" s="54">
        <f t="shared" si="33"/>
        <v>1.6904348762976709E-2</v>
      </c>
      <c r="E710" s="54">
        <f t="shared" si="34"/>
        <v>8.4398644447551876E-3</v>
      </c>
      <c r="F710" s="55">
        <f t="shared" si="35"/>
        <v>2023</v>
      </c>
    </row>
    <row r="711" spans="1:6" x14ac:dyDescent="0.35">
      <c r="A711" s="69">
        <v>44965</v>
      </c>
      <c r="B711" s="54">
        <v>2126.8000000000002</v>
      </c>
      <c r="C711" s="54">
        <v>17871.7</v>
      </c>
      <c r="D711" s="54">
        <f t="shared" si="33"/>
        <v>6.2574173872259513E-3</v>
      </c>
      <c r="E711" s="54">
        <f t="shared" si="34"/>
        <v>1.2162679413476782E-3</v>
      </c>
      <c r="F711" s="55">
        <f t="shared" si="35"/>
        <v>2023</v>
      </c>
    </row>
    <row r="712" spans="1:6" x14ac:dyDescent="0.35">
      <c r="A712" s="69">
        <v>44966</v>
      </c>
      <c r="B712" s="54">
        <v>2140.15</v>
      </c>
      <c r="C712" s="54">
        <v>17893.45</v>
      </c>
      <c r="D712" s="54">
        <f t="shared" si="33"/>
        <v>6.1488489992557131E-3</v>
      </c>
      <c r="E712" s="54">
        <f t="shared" si="34"/>
        <v>-2.0671364943135387E-3</v>
      </c>
      <c r="F712" s="55">
        <f t="shared" si="35"/>
        <v>2023</v>
      </c>
    </row>
    <row r="713" spans="1:6" x14ac:dyDescent="0.35">
      <c r="A713" s="69">
        <v>44967</v>
      </c>
      <c r="B713" s="54">
        <v>2153.35</v>
      </c>
      <c r="C713" s="54">
        <v>17856.5</v>
      </c>
      <c r="D713" s="54">
        <f t="shared" si="33"/>
        <v>-1.1560282409721248E-2</v>
      </c>
      <c r="E713" s="54">
        <f t="shared" si="34"/>
        <v>-4.8052995568044921E-3</v>
      </c>
      <c r="F713" s="55">
        <f t="shared" si="35"/>
        <v>2023</v>
      </c>
    </row>
    <row r="714" spans="1:6" x14ac:dyDescent="0.35">
      <c r="A714" s="69">
        <v>44970</v>
      </c>
      <c r="B714" s="54">
        <v>2128.6</v>
      </c>
      <c r="C714" s="54">
        <v>17770.900000000001</v>
      </c>
      <c r="D714" s="54">
        <f t="shared" si="33"/>
        <v>1.1002855847848233E-2</v>
      </c>
      <c r="E714" s="54">
        <f t="shared" si="34"/>
        <v>8.9046336726180588E-3</v>
      </c>
      <c r="F714" s="55">
        <f t="shared" si="35"/>
        <v>2023</v>
      </c>
    </row>
    <row r="715" spans="1:6" x14ac:dyDescent="0.35">
      <c r="A715" s="69">
        <v>44971</v>
      </c>
      <c r="B715" s="54">
        <v>2152.15</v>
      </c>
      <c r="C715" s="54">
        <v>17929.849999999999</v>
      </c>
      <c r="D715" s="54">
        <f t="shared" si="33"/>
        <v>3.0388461860393554E-3</v>
      </c>
      <c r="E715" s="54">
        <f t="shared" si="34"/>
        <v>4.7850042753287744E-3</v>
      </c>
      <c r="F715" s="55">
        <f t="shared" si="35"/>
        <v>2023</v>
      </c>
    </row>
    <row r="716" spans="1:6" x14ac:dyDescent="0.35">
      <c r="A716" s="69">
        <v>44972</v>
      </c>
      <c r="B716" s="54">
        <v>2158.6999999999998</v>
      </c>
      <c r="C716" s="54">
        <v>18015.849999999999</v>
      </c>
      <c r="D716" s="54">
        <f t="shared" si="33"/>
        <v>4.6986307136574451E-2</v>
      </c>
      <c r="E716" s="54">
        <f t="shared" si="34"/>
        <v>1.1095178342057001E-3</v>
      </c>
      <c r="F716" s="55">
        <f t="shared" si="35"/>
        <v>2023</v>
      </c>
    </row>
    <row r="717" spans="1:6" x14ac:dyDescent="0.35">
      <c r="A717" s="69">
        <v>44973</v>
      </c>
      <c r="B717" s="54">
        <v>2262.5500000000002</v>
      </c>
      <c r="C717" s="54">
        <v>18035.849999999999</v>
      </c>
      <c r="D717" s="54">
        <f t="shared" si="33"/>
        <v>-1.1557995794018148E-2</v>
      </c>
      <c r="E717" s="54">
        <f t="shared" si="34"/>
        <v>-5.0945008816343056E-3</v>
      </c>
      <c r="F717" s="55">
        <f t="shared" si="35"/>
        <v>2023</v>
      </c>
    </row>
    <row r="718" spans="1:6" x14ac:dyDescent="0.35">
      <c r="A718" s="69">
        <v>44974</v>
      </c>
      <c r="B718" s="54">
        <v>2236.5500000000002</v>
      </c>
      <c r="C718" s="54">
        <v>17944.2</v>
      </c>
      <c r="D718" s="54">
        <f t="shared" si="33"/>
        <v>2.924337690591835E-3</v>
      </c>
      <c r="E718" s="54">
        <f t="shared" si="34"/>
        <v>-5.5660014941524474E-3</v>
      </c>
      <c r="F718" s="55">
        <f t="shared" si="35"/>
        <v>2023</v>
      </c>
    </row>
    <row r="719" spans="1:6" x14ac:dyDescent="0.35">
      <c r="A719" s="69">
        <v>44977</v>
      </c>
      <c r="B719" s="54">
        <v>2243.1</v>
      </c>
      <c r="C719" s="54">
        <v>17844.599999999999</v>
      </c>
      <c r="D719" s="54">
        <f t="shared" si="33"/>
        <v>-1.473058476858297E-2</v>
      </c>
      <c r="E719" s="54">
        <f t="shared" si="34"/>
        <v>-1.0036080267580851E-3</v>
      </c>
      <c r="F719" s="55">
        <f t="shared" si="35"/>
        <v>2023</v>
      </c>
    </row>
    <row r="720" spans="1:6" x14ac:dyDescent="0.35">
      <c r="A720" s="69">
        <v>44978</v>
      </c>
      <c r="B720" s="54">
        <v>2210.3000000000002</v>
      </c>
      <c r="C720" s="54">
        <v>17826.7</v>
      </c>
      <c r="D720" s="54">
        <f t="shared" si="33"/>
        <v>-4.6708925589893664E-3</v>
      </c>
      <c r="E720" s="54">
        <f t="shared" si="34"/>
        <v>-1.539839927597453E-2</v>
      </c>
      <c r="F720" s="55">
        <f t="shared" si="35"/>
        <v>2023</v>
      </c>
    </row>
    <row r="721" spans="1:6" x14ac:dyDescent="0.35">
      <c r="A721" s="69">
        <v>44979</v>
      </c>
      <c r="B721" s="54">
        <v>2200</v>
      </c>
      <c r="C721" s="54">
        <v>17554.3</v>
      </c>
      <c r="D721" s="54">
        <f t="shared" si="33"/>
        <v>-7.7343787985693904E-3</v>
      </c>
      <c r="E721" s="54">
        <f t="shared" si="34"/>
        <v>-2.4554026176142147E-3</v>
      </c>
      <c r="F721" s="55">
        <f t="shared" si="35"/>
        <v>2023</v>
      </c>
    </row>
    <row r="722" spans="1:6" x14ac:dyDescent="0.35">
      <c r="A722" s="69">
        <v>44980</v>
      </c>
      <c r="B722" s="54">
        <v>2183.0500000000002</v>
      </c>
      <c r="C722" s="54">
        <v>17511.25</v>
      </c>
      <c r="D722" s="54">
        <f t="shared" si="33"/>
        <v>6.8021262043060264E-3</v>
      </c>
      <c r="E722" s="54">
        <f t="shared" si="34"/>
        <v>-2.5988484209401182E-3</v>
      </c>
      <c r="F722" s="55">
        <f t="shared" si="35"/>
        <v>2023</v>
      </c>
    </row>
    <row r="723" spans="1:6" x14ac:dyDescent="0.35">
      <c r="A723" s="69">
        <v>44981</v>
      </c>
      <c r="B723" s="54">
        <v>2197.9499999999998</v>
      </c>
      <c r="C723" s="54">
        <v>17465.8</v>
      </c>
      <c r="D723" s="54">
        <f t="shared" si="33"/>
        <v>-7.4648832029066151E-2</v>
      </c>
      <c r="E723" s="54">
        <f t="shared" si="34"/>
        <v>-4.1941051482731325E-3</v>
      </c>
      <c r="F723" s="55">
        <f t="shared" si="35"/>
        <v>2023</v>
      </c>
    </row>
    <row r="724" spans="1:6" x14ac:dyDescent="0.35">
      <c r="A724" s="69">
        <v>44984</v>
      </c>
      <c r="B724" s="54">
        <v>2039.85</v>
      </c>
      <c r="C724" s="54">
        <v>17392.7</v>
      </c>
      <c r="D724" s="54">
        <f t="shared" si="33"/>
        <v>-2.183915965246423E-3</v>
      </c>
      <c r="E724" s="54">
        <f t="shared" si="34"/>
        <v>-5.1157788177069495E-3</v>
      </c>
      <c r="F724" s="55">
        <f t="shared" si="35"/>
        <v>2023</v>
      </c>
    </row>
    <row r="725" spans="1:6" x14ac:dyDescent="0.35">
      <c r="A725" s="69">
        <v>44985</v>
      </c>
      <c r="B725" s="54">
        <v>2035.4</v>
      </c>
      <c r="C725" s="54">
        <v>17303.95</v>
      </c>
      <c r="D725" s="54">
        <f t="shared" si="33"/>
        <v>1.2207778933599025E-2</v>
      </c>
      <c r="E725" s="54">
        <f t="shared" si="34"/>
        <v>8.4564241084092717E-3</v>
      </c>
      <c r="F725" s="55">
        <f t="shared" si="35"/>
        <v>2023</v>
      </c>
    </row>
    <row r="726" spans="1:6" x14ac:dyDescent="0.35">
      <c r="A726" s="69">
        <v>44986</v>
      </c>
      <c r="B726" s="54">
        <v>2060.4</v>
      </c>
      <c r="C726" s="54">
        <v>17450.900000000001</v>
      </c>
      <c r="D726" s="54">
        <f t="shared" si="33"/>
        <v>-6.4271328458510961E-3</v>
      </c>
      <c r="E726" s="54">
        <f t="shared" si="34"/>
        <v>-7.4196263629130879E-3</v>
      </c>
      <c r="F726" s="55">
        <f t="shared" si="35"/>
        <v>2023</v>
      </c>
    </row>
    <row r="727" spans="1:6" x14ac:dyDescent="0.35">
      <c r="A727" s="69">
        <v>44987</v>
      </c>
      <c r="B727" s="54">
        <v>2047.2</v>
      </c>
      <c r="C727" s="54">
        <v>17321.900000000001</v>
      </c>
      <c r="D727" s="54">
        <f t="shared" si="33"/>
        <v>1.5510198481701322E-2</v>
      </c>
      <c r="E727" s="54">
        <f t="shared" si="34"/>
        <v>1.5606230891244488E-2</v>
      </c>
      <c r="F727" s="55">
        <f t="shared" si="35"/>
        <v>2023</v>
      </c>
    </row>
    <row r="728" spans="1:6" x14ac:dyDescent="0.35">
      <c r="A728" s="69">
        <v>44988</v>
      </c>
      <c r="B728" s="54">
        <v>2079.1999999999998</v>
      </c>
      <c r="C728" s="54">
        <v>17594.349999999999</v>
      </c>
      <c r="D728" s="54">
        <f t="shared" si="33"/>
        <v>2.8098063191901217E-2</v>
      </c>
      <c r="E728" s="54">
        <f t="shared" si="34"/>
        <v>6.6334953122811511E-3</v>
      </c>
      <c r="F728" s="55">
        <f t="shared" si="35"/>
        <v>2023</v>
      </c>
    </row>
    <row r="729" spans="1:6" x14ac:dyDescent="0.35">
      <c r="A729" s="69">
        <v>44991</v>
      </c>
      <c r="B729" s="54">
        <v>2138.4499999999998</v>
      </c>
      <c r="C729" s="54">
        <v>17711.45</v>
      </c>
      <c r="D729" s="54">
        <f t="shared" si="33"/>
        <v>3.0116637095675639E-3</v>
      </c>
      <c r="E729" s="54">
        <f t="shared" si="34"/>
        <v>2.4220494360940436E-3</v>
      </c>
      <c r="F729" s="55">
        <f t="shared" si="35"/>
        <v>2023</v>
      </c>
    </row>
    <row r="730" spans="1:6" x14ac:dyDescent="0.35">
      <c r="A730" s="69">
        <v>44993</v>
      </c>
      <c r="B730" s="54">
        <v>2144.9</v>
      </c>
      <c r="C730" s="54">
        <v>17754.400000000001</v>
      </c>
      <c r="D730" s="54">
        <f t="shared" si="33"/>
        <v>-1.8824971178952425E-2</v>
      </c>
      <c r="E730" s="54">
        <f t="shared" si="34"/>
        <v>-9.3255542287693904E-3</v>
      </c>
      <c r="F730" s="55">
        <f t="shared" si="35"/>
        <v>2023</v>
      </c>
    </row>
    <row r="731" spans="1:6" x14ac:dyDescent="0.35">
      <c r="A731" s="69">
        <v>44994</v>
      </c>
      <c r="B731" s="54">
        <v>2104.9</v>
      </c>
      <c r="C731" s="54">
        <v>17589.599999999999</v>
      </c>
      <c r="D731" s="54">
        <f t="shared" si="33"/>
        <v>-3.1832990600430079E-2</v>
      </c>
      <c r="E731" s="54">
        <f t="shared" si="34"/>
        <v>-1.0096507452669731E-2</v>
      </c>
      <c r="F731" s="55">
        <f t="shared" si="35"/>
        <v>2023</v>
      </c>
    </row>
    <row r="732" spans="1:6" x14ac:dyDescent="0.35">
      <c r="A732" s="69">
        <v>44995</v>
      </c>
      <c r="B732" s="54">
        <v>2038.95</v>
      </c>
      <c r="C732" s="54">
        <v>17412.900000000001</v>
      </c>
      <c r="D732" s="54">
        <f t="shared" si="33"/>
        <v>-3.8598037441783979E-2</v>
      </c>
      <c r="E732" s="54">
        <f t="shared" si="34"/>
        <v>-1.4962439797248966E-2</v>
      </c>
      <c r="F732" s="55">
        <f t="shared" si="35"/>
        <v>2023</v>
      </c>
    </row>
    <row r="733" spans="1:6" x14ac:dyDescent="0.35">
      <c r="A733" s="69">
        <v>44998</v>
      </c>
      <c r="B733" s="54">
        <v>1961.75</v>
      </c>
      <c r="C733" s="54">
        <v>17154.3</v>
      </c>
      <c r="D733" s="54">
        <f t="shared" si="33"/>
        <v>-3.3721398017305865E-2</v>
      </c>
      <c r="E733" s="54">
        <f t="shared" si="34"/>
        <v>-6.4917064247525776E-3</v>
      </c>
      <c r="F733" s="55">
        <f t="shared" si="35"/>
        <v>2023</v>
      </c>
    </row>
    <row r="734" spans="1:6" x14ac:dyDescent="0.35">
      <c r="A734" s="69">
        <v>44999</v>
      </c>
      <c r="B734" s="54">
        <v>1896.7</v>
      </c>
      <c r="C734" s="54">
        <v>17043.3</v>
      </c>
      <c r="D734" s="54">
        <f t="shared" si="33"/>
        <v>1.3961883697418886E-3</v>
      </c>
      <c r="E734" s="54">
        <f t="shared" si="34"/>
        <v>-4.1833992356591016E-3</v>
      </c>
      <c r="F734" s="55">
        <f t="shared" si="35"/>
        <v>2023</v>
      </c>
    </row>
    <row r="735" spans="1:6" x14ac:dyDescent="0.35">
      <c r="A735" s="69">
        <v>45000</v>
      </c>
      <c r="B735" s="54">
        <v>1899.35</v>
      </c>
      <c r="C735" s="54">
        <v>16972.150000000001</v>
      </c>
      <c r="D735" s="54">
        <f t="shared" si="33"/>
        <v>2.9965325755036539E-3</v>
      </c>
      <c r="E735" s="54">
        <f t="shared" si="34"/>
        <v>7.9216088835932304E-4</v>
      </c>
      <c r="F735" s="55">
        <f t="shared" si="35"/>
        <v>2023</v>
      </c>
    </row>
    <row r="736" spans="1:6" x14ac:dyDescent="0.35">
      <c r="A736" s="69">
        <v>45001</v>
      </c>
      <c r="B736" s="54">
        <v>1905.05</v>
      </c>
      <c r="C736" s="54">
        <v>16985.599999999999</v>
      </c>
      <c r="D736" s="54">
        <f t="shared" si="33"/>
        <v>-9.8380041524158118E-3</v>
      </c>
      <c r="E736" s="54">
        <f t="shared" si="34"/>
        <v>6.715461205305623E-3</v>
      </c>
      <c r="F736" s="55">
        <f t="shared" si="35"/>
        <v>2023</v>
      </c>
    </row>
    <row r="737" spans="1:6" x14ac:dyDescent="0.35">
      <c r="A737" s="69">
        <v>45002</v>
      </c>
      <c r="B737" s="54">
        <v>1886.4</v>
      </c>
      <c r="C737" s="54">
        <v>17100.05</v>
      </c>
      <c r="D737" s="54">
        <f t="shared" si="33"/>
        <v>-3.3994782309141443E-2</v>
      </c>
      <c r="E737" s="54">
        <f t="shared" si="34"/>
        <v>-6.5506292746326279E-3</v>
      </c>
      <c r="F737" s="55">
        <f t="shared" si="35"/>
        <v>2023</v>
      </c>
    </row>
    <row r="738" spans="1:6" x14ac:dyDescent="0.35">
      <c r="A738" s="69">
        <v>45005</v>
      </c>
      <c r="B738" s="54">
        <v>1823.35</v>
      </c>
      <c r="C738" s="54">
        <v>16988.400000000001</v>
      </c>
      <c r="D738" s="54">
        <f t="shared" si="33"/>
        <v>-1.7175757236413514E-2</v>
      </c>
      <c r="E738" s="54">
        <f t="shared" si="34"/>
        <v>6.9862056382009536E-3</v>
      </c>
      <c r="F738" s="55">
        <f t="shared" si="35"/>
        <v>2023</v>
      </c>
    </row>
    <row r="739" spans="1:6" x14ac:dyDescent="0.35">
      <c r="A739" s="69">
        <v>45006</v>
      </c>
      <c r="B739" s="54">
        <v>1792.3</v>
      </c>
      <c r="C739" s="54">
        <v>17107.5</v>
      </c>
      <c r="D739" s="54">
        <f t="shared" si="33"/>
        <v>3.9257773192753016E-3</v>
      </c>
      <c r="E739" s="54">
        <f t="shared" si="34"/>
        <v>2.5919908029994904E-3</v>
      </c>
      <c r="F739" s="55">
        <f t="shared" si="35"/>
        <v>2023</v>
      </c>
    </row>
    <row r="740" spans="1:6" x14ac:dyDescent="0.35">
      <c r="A740" s="69">
        <v>45007</v>
      </c>
      <c r="B740" s="54">
        <v>1799.35</v>
      </c>
      <c r="C740" s="54">
        <v>17151.900000000001</v>
      </c>
      <c r="D740" s="54">
        <f t="shared" si="33"/>
        <v>-9.2122811070037107E-3</v>
      </c>
      <c r="E740" s="54">
        <f t="shared" si="34"/>
        <v>-4.3822815890368141E-3</v>
      </c>
      <c r="F740" s="55">
        <f t="shared" si="35"/>
        <v>2023</v>
      </c>
    </row>
    <row r="741" spans="1:6" x14ac:dyDescent="0.35">
      <c r="A741" s="69">
        <v>45008</v>
      </c>
      <c r="B741" s="54">
        <v>1782.85</v>
      </c>
      <c r="C741" s="54">
        <v>17076.900000000001</v>
      </c>
      <c r="D741" s="54">
        <f t="shared" si="33"/>
        <v>-2.582346462400302E-2</v>
      </c>
      <c r="E741" s="54">
        <f t="shared" si="34"/>
        <v>-7.7509172808900607E-3</v>
      </c>
      <c r="F741" s="55">
        <f t="shared" si="35"/>
        <v>2023</v>
      </c>
    </row>
    <row r="742" spans="1:6" x14ac:dyDescent="0.35">
      <c r="A742" s="69">
        <v>45009</v>
      </c>
      <c r="B742" s="54">
        <v>1737.4</v>
      </c>
      <c r="C742" s="54">
        <v>16945.05</v>
      </c>
      <c r="D742" s="54">
        <f t="shared" si="33"/>
        <v>-7.307630399602129E-3</v>
      </c>
      <c r="E742" s="54">
        <f t="shared" si="34"/>
        <v>2.3960578205877384E-3</v>
      </c>
      <c r="F742" s="55">
        <f t="shared" si="35"/>
        <v>2023</v>
      </c>
    </row>
    <row r="743" spans="1:6" x14ac:dyDescent="0.35">
      <c r="A743" s="69">
        <v>45012</v>
      </c>
      <c r="B743" s="54">
        <v>1724.75</v>
      </c>
      <c r="C743" s="54">
        <v>16985.7</v>
      </c>
      <c r="D743" s="54">
        <f t="shared" si="33"/>
        <v>-3.2797553441846379E-2</v>
      </c>
      <c r="E743" s="54">
        <f t="shared" si="34"/>
        <v>-2.0036898156717883E-3</v>
      </c>
      <c r="F743" s="55">
        <f t="shared" si="35"/>
        <v>2023</v>
      </c>
    </row>
    <row r="744" spans="1:6" x14ac:dyDescent="0.35">
      <c r="A744" s="69">
        <v>45013</v>
      </c>
      <c r="B744" s="54">
        <v>1669.1</v>
      </c>
      <c r="C744" s="54">
        <v>16951.7</v>
      </c>
      <c r="D744" s="54">
        <f t="shared" si="33"/>
        <v>2.8992672219584372E-2</v>
      </c>
      <c r="E744" s="54">
        <f t="shared" si="34"/>
        <v>7.5810473446718757E-3</v>
      </c>
      <c r="F744" s="55">
        <f t="shared" si="35"/>
        <v>2023</v>
      </c>
    </row>
    <row r="745" spans="1:6" x14ac:dyDescent="0.35">
      <c r="A745" s="69">
        <v>45014</v>
      </c>
      <c r="B745" s="54">
        <v>1718.2</v>
      </c>
      <c r="C745" s="54">
        <v>17080.7</v>
      </c>
      <c r="D745" s="54">
        <f t="shared" si="33"/>
        <v>4.4145530750954724E-2</v>
      </c>
      <c r="E745" s="54">
        <f t="shared" si="34"/>
        <v>1.6205137079674727E-2</v>
      </c>
      <c r="F745" s="55">
        <f t="shared" si="35"/>
        <v>2023</v>
      </c>
    </row>
    <row r="746" spans="1:6" x14ac:dyDescent="0.35">
      <c r="A746" s="69">
        <v>45016</v>
      </c>
      <c r="B746" s="54">
        <v>1795.75</v>
      </c>
      <c r="C746" s="54">
        <v>17359.75</v>
      </c>
      <c r="D746" s="54">
        <f t="shared" si="33"/>
        <v>1.0574943936457473E-3</v>
      </c>
      <c r="E746" s="54">
        <f t="shared" si="34"/>
        <v>2.2038227679195624E-3</v>
      </c>
      <c r="F746" s="55">
        <f t="shared" si="35"/>
        <v>2023</v>
      </c>
    </row>
    <row r="747" spans="1:6" x14ac:dyDescent="0.35">
      <c r="A747" s="69">
        <v>45019</v>
      </c>
      <c r="B747" s="54">
        <v>1797.65</v>
      </c>
      <c r="C747" s="54">
        <v>17398.05</v>
      </c>
      <c r="D747" s="54">
        <f t="shared" si="33"/>
        <v>9.9632739600895321E-3</v>
      </c>
      <c r="E747" s="54">
        <f t="shared" si="34"/>
        <v>9.0974476751935936E-3</v>
      </c>
      <c r="F747" s="55">
        <f t="shared" si="35"/>
        <v>2023</v>
      </c>
    </row>
    <row r="748" spans="1:6" x14ac:dyDescent="0.35">
      <c r="A748" s="69">
        <v>45021</v>
      </c>
      <c r="B748" s="54">
        <v>1815.65</v>
      </c>
      <c r="C748" s="54">
        <v>17557.05</v>
      </c>
      <c r="D748" s="54">
        <f t="shared" si="33"/>
        <v>-1.1940026883307586E-2</v>
      </c>
      <c r="E748" s="54">
        <f t="shared" si="34"/>
        <v>2.3950267733336621E-3</v>
      </c>
      <c r="F748" s="55">
        <f t="shared" si="35"/>
        <v>2023</v>
      </c>
    </row>
    <row r="749" spans="1:6" x14ac:dyDescent="0.35">
      <c r="A749" s="69">
        <v>45022</v>
      </c>
      <c r="B749" s="54">
        <v>1794.1</v>
      </c>
      <c r="C749" s="54">
        <v>17599.150000000001</v>
      </c>
      <c r="D749" s="54">
        <f t="shared" si="33"/>
        <v>9.7621275566265858E-3</v>
      </c>
      <c r="E749" s="54">
        <f t="shared" si="34"/>
        <v>1.4138411131193697E-3</v>
      </c>
      <c r="F749" s="55">
        <f t="shared" si="35"/>
        <v>2023</v>
      </c>
    </row>
    <row r="750" spans="1:6" x14ac:dyDescent="0.35">
      <c r="A750" s="69">
        <v>45026</v>
      </c>
      <c r="B750" s="54">
        <v>1811.7</v>
      </c>
      <c r="C750" s="54">
        <v>17624.05</v>
      </c>
      <c r="D750" s="54">
        <f t="shared" si="33"/>
        <v>-7.0068831992017421E-3</v>
      </c>
      <c r="E750" s="54">
        <f t="shared" si="34"/>
        <v>5.5592870573658824E-3</v>
      </c>
      <c r="F750" s="55">
        <f t="shared" si="35"/>
        <v>2023</v>
      </c>
    </row>
    <row r="751" spans="1:6" x14ac:dyDescent="0.35">
      <c r="A751" s="69">
        <v>45027</v>
      </c>
      <c r="B751" s="54">
        <v>1799.05</v>
      </c>
      <c r="C751" s="54">
        <v>17722.3</v>
      </c>
      <c r="D751" s="54">
        <f t="shared" si="33"/>
        <v>1.1907369288424893E-2</v>
      </c>
      <c r="E751" s="54">
        <f t="shared" si="34"/>
        <v>5.0711103842399786E-3</v>
      </c>
      <c r="F751" s="55">
        <f t="shared" si="35"/>
        <v>2023</v>
      </c>
    </row>
    <row r="752" spans="1:6" x14ac:dyDescent="0.35">
      <c r="A752" s="69">
        <v>45028</v>
      </c>
      <c r="B752" s="54">
        <v>1820.6</v>
      </c>
      <c r="C752" s="54">
        <v>17812.400000000001</v>
      </c>
      <c r="D752" s="54">
        <f t="shared" si="33"/>
        <v>-2.759352604995997E-2</v>
      </c>
      <c r="E752" s="54">
        <f t="shared" si="34"/>
        <v>8.7541110628643569E-4</v>
      </c>
      <c r="F752" s="55">
        <f t="shared" si="35"/>
        <v>2023</v>
      </c>
    </row>
    <row r="753" spans="1:6" x14ac:dyDescent="0.35">
      <c r="A753" s="69">
        <v>45029</v>
      </c>
      <c r="B753" s="54">
        <v>1771.05</v>
      </c>
      <c r="C753" s="54">
        <v>17828</v>
      </c>
      <c r="D753" s="54">
        <f t="shared" si="33"/>
        <v>-1.9672204701381299E-2</v>
      </c>
      <c r="E753" s="54">
        <f t="shared" si="34"/>
        <v>-6.8186847221795004E-3</v>
      </c>
      <c r="F753" s="55">
        <f t="shared" si="35"/>
        <v>2023</v>
      </c>
    </row>
    <row r="754" spans="1:6" x14ac:dyDescent="0.35">
      <c r="A754" s="69">
        <v>45033</v>
      </c>
      <c r="B754" s="54">
        <v>1736.55</v>
      </c>
      <c r="C754" s="54">
        <v>17706.849999999999</v>
      </c>
      <c r="D754" s="54">
        <f t="shared" si="33"/>
        <v>2.6845533912259842E-2</v>
      </c>
      <c r="E754" s="54">
        <f t="shared" si="34"/>
        <v>-2.6408814511533168E-3</v>
      </c>
      <c r="F754" s="55">
        <f t="shared" si="35"/>
        <v>2023</v>
      </c>
    </row>
    <row r="755" spans="1:6" x14ac:dyDescent="0.35">
      <c r="A755" s="69">
        <v>45034</v>
      </c>
      <c r="B755" s="54">
        <v>1783.8</v>
      </c>
      <c r="C755" s="54">
        <v>17660.150000000001</v>
      </c>
      <c r="D755" s="54">
        <f t="shared" si="33"/>
        <v>1.4014042093099576E-4</v>
      </c>
      <c r="E755" s="54">
        <f t="shared" si="34"/>
        <v>-2.3470130306909674E-3</v>
      </c>
      <c r="F755" s="55">
        <f t="shared" si="35"/>
        <v>2023</v>
      </c>
    </row>
    <row r="756" spans="1:6" x14ac:dyDescent="0.35">
      <c r="A756" s="69">
        <v>45035</v>
      </c>
      <c r="B756" s="54">
        <v>1784.05</v>
      </c>
      <c r="C756" s="54">
        <v>17618.75</v>
      </c>
      <c r="D756" s="54">
        <f t="shared" si="33"/>
        <v>-1.4709261407915545E-2</v>
      </c>
      <c r="E756" s="54">
        <f t="shared" si="34"/>
        <v>3.2346665738081727E-4</v>
      </c>
      <c r="F756" s="55">
        <f t="shared" si="35"/>
        <v>2023</v>
      </c>
    </row>
    <row r="757" spans="1:6" x14ac:dyDescent="0.35">
      <c r="A757" s="69">
        <v>45036</v>
      </c>
      <c r="B757" s="54">
        <v>1758</v>
      </c>
      <c r="C757" s="54">
        <v>17624.45</v>
      </c>
      <c r="D757" s="54">
        <f t="shared" si="33"/>
        <v>1.1086002926202019E-3</v>
      </c>
      <c r="E757" s="54">
        <f t="shared" si="34"/>
        <v>-2.2696001249353279E-5</v>
      </c>
      <c r="F757" s="55">
        <f t="shared" si="35"/>
        <v>2023</v>
      </c>
    </row>
    <row r="758" spans="1:6" x14ac:dyDescent="0.35">
      <c r="A758" s="69">
        <v>45037</v>
      </c>
      <c r="B758" s="54">
        <v>1759.95</v>
      </c>
      <c r="C758" s="54">
        <v>17624.05</v>
      </c>
      <c r="D758" s="54">
        <f t="shared" si="33"/>
        <v>1.9884951418411127E-4</v>
      </c>
      <c r="E758" s="54">
        <f t="shared" si="34"/>
        <v>6.7491692528103258E-3</v>
      </c>
      <c r="F758" s="55">
        <f t="shared" si="35"/>
        <v>2023</v>
      </c>
    </row>
    <row r="759" spans="1:6" x14ac:dyDescent="0.35">
      <c r="A759" s="69">
        <v>45040</v>
      </c>
      <c r="B759" s="54">
        <v>1760.3</v>
      </c>
      <c r="C759" s="54">
        <v>17743.400000000001</v>
      </c>
      <c r="D759" s="54">
        <f t="shared" si="33"/>
        <v>-2.8408284046626669E-4</v>
      </c>
      <c r="E759" s="54">
        <f t="shared" si="34"/>
        <v>1.4558195215261978E-3</v>
      </c>
      <c r="F759" s="55">
        <f t="shared" si="35"/>
        <v>2023</v>
      </c>
    </row>
    <row r="760" spans="1:6" x14ac:dyDescent="0.35">
      <c r="A760" s="69">
        <v>45041</v>
      </c>
      <c r="B760" s="54">
        <v>1759.8</v>
      </c>
      <c r="C760" s="54">
        <v>17769.25</v>
      </c>
      <c r="D760" s="54">
        <f t="shared" si="33"/>
        <v>1.1364282073716276E-4</v>
      </c>
      <c r="E760" s="54">
        <f t="shared" si="34"/>
        <v>2.4927751973571103E-3</v>
      </c>
      <c r="F760" s="55">
        <f t="shared" si="35"/>
        <v>2023</v>
      </c>
    </row>
    <row r="761" spans="1:6" x14ac:dyDescent="0.35">
      <c r="A761" s="69">
        <v>45042</v>
      </c>
      <c r="B761" s="54">
        <v>1760</v>
      </c>
      <c r="C761" s="54">
        <v>17813.599999999999</v>
      </c>
      <c r="D761" s="54">
        <f t="shared" si="33"/>
        <v>1.3572251620840437E-2</v>
      </c>
      <c r="E761" s="54">
        <f t="shared" si="34"/>
        <v>5.6789312022102979E-3</v>
      </c>
      <c r="F761" s="55">
        <f t="shared" si="35"/>
        <v>2023</v>
      </c>
    </row>
    <row r="762" spans="1:6" x14ac:dyDescent="0.35">
      <c r="A762" s="69">
        <v>45043</v>
      </c>
      <c r="B762" s="54">
        <v>1784.05</v>
      </c>
      <c r="C762" s="54">
        <v>17915.05</v>
      </c>
      <c r="D762" s="54">
        <f t="shared" si="33"/>
        <v>1.6896330819923151E-2</v>
      </c>
      <c r="E762" s="54">
        <f t="shared" si="34"/>
        <v>8.3352228892828832E-3</v>
      </c>
      <c r="F762" s="55">
        <f t="shared" si="35"/>
        <v>2023</v>
      </c>
    </row>
    <row r="763" spans="1:6" x14ac:dyDescent="0.35">
      <c r="A763" s="69">
        <v>45044</v>
      </c>
      <c r="B763" s="54">
        <v>1814.45</v>
      </c>
      <c r="C763" s="54">
        <v>18065</v>
      </c>
      <c r="D763" s="54">
        <f t="shared" si="33"/>
        <v>2.5358453084029151E-2</v>
      </c>
      <c r="E763" s="54">
        <f t="shared" si="34"/>
        <v>4.564711144417706E-3</v>
      </c>
      <c r="F763" s="55">
        <f t="shared" si="35"/>
        <v>2023</v>
      </c>
    </row>
    <row r="764" spans="1:6" x14ac:dyDescent="0.35">
      <c r="A764" s="69">
        <v>45048</v>
      </c>
      <c r="B764" s="54">
        <v>1861.05</v>
      </c>
      <c r="C764" s="54">
        <v>18147.650000000001</v>
      </c>
      <c r="D764" s="54">
        <f t="shared" si="33"/>
        <v>-4.6587489503932839E-3</v>
      </c>
      <c r="E764" s="54">
        <f t="shared" si="34"/>
        <v>-3.190068245158949E-3</v>
      </c>
      <c r="F764" s="55">
        <f t="shared" si="35"/>
        <v>2023</v>
      </c>
    </row>
    <row r="765" spans="1:6" x14ac:dyDescent="0.35">
      <c r="A765" s="69">
        <v>45049</v>
      </c>
      <c r="B765" s="54">
        <v>1852.4</v>
      </c>
      <c r="C765" s="54">
        <v>18089.849999999999</v>
      </c>
      <c r="D765" s="54">
        <f t="shared" si="33"/>
        <v>-4.0570201428771569E-3</v>
      </c>
      <c r="E765" s="54">
        <f t="shared" si="34"/>
        <v>9.1318302584812369E-3</v>
      </c>
      <c r="F765" s="55">
        <f t="shared" si="35"/>
        <v>2023</v>
      </c>
    </row>
    <row r="766" spans="1:6" x14ac:dyDescent="0.35">
      <c r="A766" s="69">
        <v>45050</v>
      </c>
      <c r="B766" s="54">
        <v>1844.9</v>
      </c>
      <c r="C766" s="54">
        <v>18255.8</v>
      </c>
      <c r="D766" s="54">
        <f t="shared" si="33"/>
        <v>-1.3588574392878715E-2</v>
      </c>
      <c r="E766" s="54">
        <f t="shared" si="34"/>
        <v>-1.0285075027649962E-2</v>
      </c>
      <c r="F766" s="55">
        <f t="shared" si="35"/>
        <v>2023</v>
      </c>
    </row>
    <row r="767" spans="1:6" x14ac:dyDescent="0.35">
      <c r="A767" s="69">
        <v>45051</v>
      </c>
      <c r="B767" s="54">
        <v>1820</v>
      </c>
      <c r="C767" s="54">
        <v>18069</v>
      </c>
      <c r="D767" s="54">
        <f t="shared" si="33"/>
        <v>1.6781476962003387E-2</v>
      </c>
      <c r="E767" s="54">
        <f t="shared" si="34"/>
        <v>1.075604726542361E-2</v>
      </c>
      <c r="F767" s="55">
        <f t="shared" si="35"/>
        <v>2023</v>
      </c>
    </row>
    <row r="768" spans="1:6" x14ac:dyDescent="0.35">
      <c r="A768" s="69">
        <v>45054</v>
      </c>
      <c r="B768" s="54">
        <v>1850.8</v>
      </c>
      <c r="C768" s="54">
        <v>18264.400000000001</v>
      </c>
      <c r="D768" s="54">
        <f t="shared" si="33"/>
        <v>5.0660307755220832E-3</v>
      </c>
      <c r="E768" s="54">
        <f t="shared" si="34"/>
        <v>8.4860944443795967E-5</v>
      </c>
      <c r="F768" s="55">
        <f t="shared" si="35"/>
        <v>2023</v>
      </c>
    </row>
    <row r="769" spans="1:6" x14ac:dyDescent="0.35">
      <c r="A769" s="69">
        <v>45055</v>
      </c>
      <c r="B769" s="54">
        <v>1860.2</v>
      </c>
      <c r="C769" s="54">
        <v>18265.95</v>
      </c>
      <c r="D769" s="54">
        <f t="shared" si="33"/>
        <v>3.0059067184941249E-3</v>
      </c>
      <c r="E769" s="54">
        <f t="shared" si="34"/>
        <v>2.6871852817707963E-3</v>
      </c>
      <c r="F769" s="55">
        <f t="shared" si="35"/>
        <v>2023</v>
      </c>
    </row>
    <row r="770" spans="1:6" x14ac:dyDescent="0.35">
      <c r="A770" s="69">
        <v>45056</v>
      </c>
      <c r="B770" s="54">
        <v>1865.8</v>
      </c>
      <c r="C770" s="54">
        <v>18315.099999999999</v>
      </c>
      <c r="D770" s="54">
        <f t="shared" ref="D770:D833" si="36">LN(B771/B770)</f>
        <v>3.4242944107836831E-3</v>
      </c>
      <c r="E770" s="54">
        <f t="shared" ref="E770:E833" si="37">LN(C771/C770)</f>
        <v>-9.8874423890292907E-4</v>
      </c>
      <c r="F770" s="55">
        <f t="shared" ref="F770:F833" si="38">YEAR(A770)</f>
        <v>2023</v>
      </c>
    </row>
    <row r="771" spans="1:6" x14ac:dyDescent="0.35">
      <c r="A771" s="69">
        <v>45057</v>
      </c>
      <c r="B771" s="54">
        <v>1872.2</v>
      </c>
      <c r="C771" s="54">
        <v>18297</v>
      </c>
      <c r="D771" s="54">
        <f t="shared" si="36"/>
        <v>-1.0659106705703282E-2</v>
      </c>
      <c r="E771" s="54">
        <f t="shared" si="37"/>
        <v>9.723641778049823E-4</v>
      </c>
      <c r="F771" s="55">
        <f t="shared" si="38"/>
        <v>2023</v>
      </c>
    </row>
    <row r="772" spans="1:6" x14ac:dyDescent="0.35">
      <c r="A772" s="69">
        <v>45058</v>
      </c>
      <c r="B772" s="54">
        <v>1852.35</v>
      </c>
      <c r="C772" s="54">
        <v>18314.8</v>
      </c>
      <c r="D772" s="54">
        <f t="shared" si="36"/>
        <v>6.8327591380770219E-3</v>
      </c>
      <c r="E772" s="54">
        <f t="shared" si="37"/>
        <v>4.5786865014996328E-3</v>
      </c>
      <c r="F772" s="55">
        <f t="shared" si="38"/>
        <v>2023</v>
      </c>
    </row>
    <row r="773" spans="1:6" x14ac:dyDescent="0.35">
      <c r="A773" s="69">
        <v>45061</v>
      </c>
      <c r="B773" s="54">
        <v>1865.05</v>
      </c>
      <c r="C773" s="54">
        <v>18398.849999999999</v>
      </c>
      <c r="D773" s="54">
        <f t="shared" si="36"/>
        <v>8.0636985051873115E-3</v>
      </c>
      <c r="E773" s="54">
        <f t="shared" si="37"/>
        <v>-6.1250799705598689E-3</v>
      </c>
      <c r="F773" s="55">
        <f t="shared" si="38"/>
        <v>2023</v>
      </c>
    </row>
    <row r="774" spans="1:6" x14ac:dyDescent="0.35">
      <c r="A774" s="69">
        <v>45062</v>
      </c>
      <c r="B774" s="54">
        <v>1880.15</v>
      </c>
      <c r="C774" s="54">
        <v>18286.5</v>
      </c>
      <c r="D774" s="54">
        <f t="shared" si="36"/>
        <v>-1.0425671850117325E-2</v>
      </c>
      <c r="E774" s="54">
        <f t="shared" si="37"/>
        <v>-5.7447389485387043E-3</v>
      </c>
      <c r="F774" s="55">
        <f t="shared" si="38"/>
        <v>2023</v>
      </c>
    </row>
    <row r="775" spans="1:6" x14ac:dyDescent="0.35">
      <c r="A775" s="69">
        <v>45063</v>
      </c>
      <c r="B775" s="54">
        <v>1860.65</v>
      </c>
      <c r="C775" s="54">
        <v>18181.75</v>
      </c>
      <c r="D775" s="54">
        <f t="shared" si="36"/>
        <v>8.3269542934141794E-4</v>
      </c>
      <c r="E775" s="54">
        <f t="shared" si="37"/>
        <v>-2.8530768395788001E-3</v>
      </c>
      <c r="F775" s="55">
        <f t="shared" si="38"/>
        <v>2023</v>
      </c>
    </row>
    <row r="776" spans="1:6" x14ac:dyDescent="0.35">
      <c r="A776" s="69">
        <v>45064</v>
      </c>
      <c r="B776" s="54">
        <v>1862.2</v>
      </c>
      <c r="C776" s="54">
        <v>18129.95</v>
      </c>
      <c r="D776" s="54">
        <f t="shared" si="36"/>
        <v>2.3510515843189056E-2</v>
      </c>
      <c r="E776" s="54">
        <f t="shared" si="37"/>
        <v>4.0431229190964193E-3</v>
      </c>
      <c r="F776" s="55">
        <f t="shared" si="38"/>
        <v>2023</v>
      </c>
    </row>
    <row r="777" spans="1:6" x14ac:dyDescent="0.35">
      <c r="A777" s="69">
        <v>45065</v>
      </c>
      <c r="B777" s="54">
        <v>1906.5</v>
      </c>
      <c r="C777" s="54">
        <v>18203.400000000001</v>
      </c>
      <c r="D777" s="54">
        <f t="shared" si="36"/>
        <v>3.2155119779227706E-2</v>
      </c>
      <c r="E777" s="54">
        <f t="shared" si="37"/>
        <v>6.0792458392437739E-3</v>
      </c>
      <c r="F777" s="55">
        <f t="shared" si="38"/>
        <v>2023</v>
      </c>
    </row>
    <row r="778" spans="1:6" x14ac:dyDescent="0.35">
      <c r="A778" s="69">
        <v>45068</v>
      </c>
      <c r="B778" s="54">
        <v>1968.8</v>
      </c>
      <c r="C778" s="54">
        <v>18314.400000000001</v>
      </c>
      <c r="D778" s="54">
        <f t="shared" si="36"/>
        <v>-1.2547921501793374E-2</v>
      </c>
      <c r="E778" s="54">
        <f t="shared" si="37"/>
        <v>1.8329410735294929E-3</v>
      </c>
      <c r="F778" s="55">
        <f t="shared" si="38"/>
        <v>2023</v>
      </c>
    </row>
    <row r="779" spans="1:6" x14ac:dyDescent="0.35">
      <c r="A779" s="69">
        <v>45069</v>
      </c>
      <c r="B779" s="54">
        <v>1944.25</v>
      </c>
      <c r="C779" s="54">
        <v>18348</v>
      </c>
      <c r="D779" s="54">
        <f t="shared" si="36"/>
        <v>1.8242319520462736E-3</v>
      </c>
      <c r="E779" s="54">
        <f t="shared" si="37"/>
        <v>-3.4176495183284154E-3</v>
      </c>
      <c r="F779" s="55">
        <f t="shared" si="38"/>
        <v>2023</v>
      </c>
    </row>
    <row r="780" spans="1:6" x14ac:dyDescent="0.35">
      <c r="A780" s="69">
        <v>45070</v>
      </c>
      <c r="B780" s="54">
        <v>1947.8</v>
      </c>
      <c r="C780" s="54">
        <v>18285.400000000001</v>
      </c>
      <c r="D780" s="54">
        <f t="shared" si="36"/>
        <v>-7.1618411588460495E-3</v>
      </c>
      <c r="E780" s="54">
        <f t="shared" si="37"/>
        <v>1.953202985013659E-3</v>
      </c>
      <c r="F780" s="55">
        <f t="shared" si="38"/>
        <v>2023</v>
      </c>
    </row>
    <row r="781" spans="1:6" x14ac:dyDescent="0.35">
      <c r="A781" s="69">
        <v>45071</v>
      </c>
      <c r="B781" s="54">
        <v>1933.9</v>
      </c>
      <c r="C781" s="54">
        <v>18321.150000000001</v>
      </c>
      <c r="D781" s="54">
        <f t="shared" si="36"/>
        <v>2.0877798695011142E-2</v>
      </c>
      <c r="E781" s="54">
        <f t="shared" si="37"/>
        <v>9.6794661302798419E-3</v>
      </c>
      <c r="F781" s="55">
        <f t="shared" si="38"/>
        <v>2023</v>
      </c>
    </row>
    <row r="782" spans="1:6" x14ac:dyDescent="0.35">
      <c r="A782" s="69">
        <v>45072</v>
      </c>
      <c r="B782" s="54">
        <v>1974.7</v>
      </c>
      <c r="C782" s="54">
        <v>18499.349999999999</v>
      </c>
      <c r="D782" s="54">
        <f t="shared" si="36"/>
        <v>-3.4749118681149972E-3</v>
      </c>
      <c r="E782" s="54">
        <f t="shared" si="37"/>
        <v>5.3534011080012102E-3</v>
      </c>
      <c r="F782" s="55">
        <f t="shared" si="38"/>
        <v>2023</v>
      </c>
    </row>
    <row r="783" spans="1:6" x14ac:dyDescent="0.35">
      <c r="A783" s="69">
        <v>45075</v>
      </c>
      <c r="B783" s="54">
        <v>1967.85</v>
      </c>
      <c r="C783" s="54">
        <v>18598.650000000001</v>
      </c>
      <c r="D783" s="54">
        <f t="shared" si="36"/>
        <v>3.5761879467918608E-3</v>
      </c>
      <c r="E783" s="54">
        <f t="shared" si="37"/>
        <v>1.8908217545032591E-3</v>
      </c>
      <c r="F783" s="55">
        <f t="shared" si="38"/>
        <v>2023</v>
      </c>
    </row>
    <row r="784" spans="1:6" x14ac:dyDescent="0.35">
      <c r="A784" s="69">
        <v>45076</v>
      </c>
      <c r="B784" s="54">
        <v>1974.9</v>
      </c>
      <c r="C784" s="54">
        <v>18633.849999999999</v>
      </c>
      <c r="D784" s="54">
        <f t="shared" si="36"/>
        <v>-1.4305082340063148E-2</v>
      </c>
      <c r="E784" s="54">
        <f t="shared" si="37"/>
        <v>-5.3513543052989016E-3</v>
      </c>
      <c r="F784" s="55">
        <f t="shared" si="38"/>
        <v>2023</v>
      </c>
    </row>
    <row r="785" spans="1:6" x14ac:dyDescent="0.35">
      <c r="A785" s="69">
        <v>45077</v>
      </c>
      <c r="B785" s="54">
        <v>1946.85</v>
      </c>
      <c r="C785" s="54">
        <v>18534.400000000001</v>
      </c>
      <c r="D785" s="54">
        <f t="shared" si="36"/>
        <v>1.5544882612730756E-2</v>
      </c>
      <c r="E785" s="54">
        <f t="shared" si="37"/>
        <v>-2.5201142931687418E-3</v>
      </c>
      <c r="F785" s="55">
        <f t="shared" si="38"/>
        <v>2023</v>
      </c>
    </row>
    <row r="786" spans="1:6" x14ac:dyDescent="0.35">
      <c r="A786" s="69">
        <v>45078</v>
      </c>
      <c r="B786" s="54">
        <v>1977.35</v>
      </c>
      <c r="C786" s="54">
        <v>18487.75</v>
      </c>
      <c r="D786" s="54">
        <f t="shared" si="36"/>
        <v>2.0175903408091826E-2</v>
      </c>
      <c r="E786" s="54">
        <f t="shared" si="37"/>
        <v>2.5039280433874476E-3</v>
      </c>
      <c r="F786" s="55">
        <f t="shared" si="38"/>
        <v>2023</v>
      </c>
    </row>
    <row r="787" spans="1:6" x14ac:dyDescent="0.35">
      <c r="A787" s="69">
        <v>45079</v>
      </c>
      <c r="B787" s="54">
        <v>2017.65</v>
      </c>
      <c r="C787" s="54">
        <v>18534.099999999999</v>
      </c>
      <c r="D787" s="54">
        <f t="shared" si="36"/>
        <v>-1.5131374840458496E-2</v>
      </c>
      <c r="E787" s="54">
        <f t="shared" si="37"/>
        <v>3.2186022433864751E-3</v>
      </c>
      <c r="F787" s="55">
        <f t="shared" si="38"/>
        <v>2023</v>
      </c>
    </row>
    <row r="788" spans="1:6" x14ac:dyDescent="0.35">
      <c r="A788" s="69">
        <v>45082</v>
      </c>
      <c r="B788" s="54">
        <v>1987.35</v>
      </c>
      <c r="C788" s="54">
        <v>18593.849999999999</v>
      </c>
      <c r="D788" s="54">
        <f t="shared" si="36"/>
        <v>-3.7397835388078227E-2</v>
      </c>
      <c r="E788" s="54">
        <f t="shared" si="37"/>
        <v>2.7693495028842678E-4</v>
      </c>
      <c r="F788" s="55">
        <f t="shared" si="38"/>
        <v>2023</v>
      </c>
    </row>
    <row r="789" spans="1:6" x14ac:dyDescent="0.35">
      <c r="A789" s="69">
        <v>45083</v>
      </c>
      <c r="B789" s="54">
        <v>1914.4</v>
      </c>
      <c r="C789" s="54">
        <v>18599</v>
      </c>
      <c r="D789" s="54">
        <f t="shared" si="36"/>
        <v>-2.9556800613214588E-3</v>
      </c>
      <c r="E789" s="54">
        <f t="shared" si="37"/>
        <v>6.826477130569099E-3</v>
      </c>
      <c r="F789" s="55">
        <f t="shared" si="38"/>
        <v>2023</v>
      </c>
    </row>
    <row r="790" spans="1:6" x14ac:dyDescent="0.35">
      <c r="A790" s="69">
        <v>45084</v>
      </c>
      <c r="B790" s="54">
        <v>1908.75</v>
      </c>
      <c r="C790" s="54">
        <v>18726.400000000001</v>
      </c>
      <c r="D790" s="54">
        <f t="shared" si="36"/>
        <v>-2.3804336628363464E-2</v>
      </c>
      <c r="E790" s="54">
        <f t="shared" si="37"/>
        <v>-4.9169084323055657E-3</v>
      </c>
      <c r="F790" s="55">
        <f t="shared" si="38"/>
        <v>2023</v>
      </c>
    </row>
    <row r="791" spans="1:6" x14ac:dyDescent="0.35">
      <c r="A791" s="69">
        <v>45085</v>
      </c>
      <c r="B791" s="54">
        <v>1863.85</v>
      </c>
      <c r="C791" s="54">
        <v>18634.55</v>
      </c>
      <c r="D791" s="54">
        <f t="shared" si="36"/>
        <v>-5.7033863676495848E-3</v>
      </c>
      <c r="E791" s="54">
        <f t="shared" si="37"/>
        <v>-3.8254842952022451E-3</v>
      </c>
      <c r="F791" s="55">
        <f t="shared" si="38"/>
        <v>2023</v>
      </c>
    </row>
    <row r="792" spans="1:6" x14ac:dyDescent="0.35">
      <c r="A792" s="69">
        <v>45086</v>
      </c>
      <c r="B792" s="54">
        <v>1853.25</v>
      </c>
      <c r="C792" s="54">
        <v>18563.400000000001</v>
      </c>
      <c r="D792" s="54">
        <f t="shared" si="36"/>
        <v>1.960951914046347E-2</v>
      </c>
      <c r="E792" s="54">
        <f t="shared" si="37"/>
        <v>2.0503223927487504E-3</v>
      </c>
      <c r="F792" s="55">
        <f t="shared" si="38"/>
        <v>2023</v>
      </c>
    </row>
    <row r="793" spans="1:6" x14ac:dyDescent="0.35">
      <c r="A793" s="69">
        <v>45089</v>
      </c>
      <c r="B793" s="54">
        <v>1889.95</v>
      </c>
      <c r="C793" s="54">
        <v>18601.5</v>
      </c>
      <c r="D793" s="54">
        <f t="shared" si="36"/>
        <v>4.3820354160503576E-3</v>
      </c>
      <c r="E793" s="54">
        <f t="shared" si="37"/>
        <v>6.1445648760739416E-3</v>
      </c>
      <c r="F793" s="55">
        <f t="shared" si="38"/>
        <v>2023</v>
      </c>
    </row>
    <row r="794" spans="1:6" x14ac:dyDescent="0.35">
      <c r="A794" s="69">
        <v>45090</v>
      </c>
      <c r="B794" s="54">
        <v>1898.25</v>
      </c>
      <c r="C794" s="54">
        <v>18716.150000000001</v>
      </c>
      <c r="D794" s="54">
        <f t="shared" si="36"/>
        <v>-1.112446911334986E-2</v>
      </c>
      <c r="E794" s="54">
        <f t="shared" si="37"/>
        <v>2.1215820810404676E-3</v>
      </c>
      <c r="F794" s="55">
        <f t="shared" si="38"/>
        <v>2023</v>
      </c>
    </row>
    <row r="795" spans="1:6" x14ac:dyDescent="0.35">
      <c r="A795" s="69">
        <v>45091</v>
      </c>
      <c r="B795" s="54">
        <v>1877.25</v>
      </c>
      <c r="C795" s="54">
        <v>18755.900000000001</v>
      </c>
      <c r="D795" s="54">
        <f t="shared" si="36"/>
        <v>-1.1459486643204881E-3</v>
      </c>
      <c r="E795" s="54">
        <f t="shared" si="37"/>
        <v>-3.6214119270170913E-3</v>
      </c>
      <c r="F795" s="55">
        <f t="shared" si="38"/>
        <v>2023</v>
      </c>
    </row>
    <row r="796" spans="1:6" x14ac:dyDescent="0.35">
      <c r="A796" s="69">
        <v>45092</v>
      </c>
      <c r="B796" s="54">
        <v>1875.1</v>
      </c>
      <c r="C796" s="54">
        <v>18688.099999999999</v>
      </c>
      <c r="D796" s="54">
        <f t="shared" si="36"/>
        <v>-8.0586222493027482E-3</v>
      </c>
      <c r="E796" s="54">
        <f t="shared" si="37"/>
        <v>7.3519354661314941E-3</v>
      </c>
      <c r="F796" s="55">
        <f t="shared" si="38"/>
        <v>2023</v>
      </c>
    </row>
    <row r="797" spans="1:6" x14ac:dyDescent="0.35">
      <c r="A797" s="69">
        <v>45093</v>
      </c>
      <c r="B797" s="54">
        <v>1860.05</v>
      </c>
      <c r="C797" s="54">
        <v>18826</v>
      </c>
      <c r="D797" s="54">
        <f t="shared" si="36"/>
        <v>6.9647491628937316E-3</v>
      </c>
      <c r="E797" s="54">
        <f t="shared" si="37"/>
        <v>-3.7545162773133895E-3</v>
      </c>
      <c r="F797" s="55">
        <f t="shared" si="38"/>
        <v>2023</v>
      </c>
    </row>
    <row r="798" spans="1:6" x14ac:dyDescent="0.35">
      <c r="A798" s="69">
        <v>45096</v>
      </c>
      <c r="B798" s="54">
        <v>1873.05</v>
      </c>
      <c r="C798" s="54">
        <v>18755.45</v>
      </c>
      <c r="D798" s="54">
        <f t="shared" si="36"/>
        <v>6.094415477926325E-3</v>
      </c>
      <c r="E798" s="54">
        <f t="shared" si="37"/>
        <v>3.2603965574623172E-3</v>
      </c>
      <c r="F798" s="55">
        <f t="shared" si="38"/>
        <v>2023</v>
      </c>
    </row>
    <row r="799" spans="1:6" x14ac:dyDescent="0.35">
      <c r="A799" s="69">
        <v>45097</v>
      </c>
      <c r="B799" s="54">
        <v>1884.5</v>
      </c>
      <c r="C799" s="54">
        <v>18816.7</v>
      </c>
      <c r="D799" s="54">
        <f t="shared" si="36"/>
        <v>-4.120976254078426E-3</v>
      </c>
      <c r="E799" s="54">
        <f t="shared" si="37"/>
        <v>2.1314697022533084E-3</v>
      </c>
      <c r="F799" s="55">
        <f t="shared" si="38"/>
        <v>2023</v>
      </c>
    </row>
    <row r="800" spans="1:6" x14ac:dyDescent="0.35">
      <c r="A800" s="69">
        <v>45098</v>
      </c>
      <c r="B800" s="54">
        <v>1876.75</v>
      </c>
      <c r="C800" s="54">
        <v>18856.849999999999</v>
      </c>
      <c r="D800" s="54">
        <f t="shared" si="36"/>
        <v>-1.162990759693606E-2</v>
      </c>
      <c r="E800" s="54">
        <f t="shared" si="37"/>
        <v>-4.5497990950773125E-3</v>
      </c>
      <c r="F800" s="55">
        <f t="shared" si="38"/>
        <v>2023</v>
      </c>
    </row>
    <row r="801" spans="1:6" x14ac:dyDescent="0.35">
      <c r="A801" s="69">
        <v>45099</v>
      </c>
      <c r="B801" s="54">
        <v>1855.05</v>
      </c>
      <c r="C801" s="54">
        <v>18771.25</v>
      </c>
      <c r="D801" s="54">
        <f t="shared" si="36"/>
        <v>-1.3022077072257467E-2</v>
      </c>
      <c r="E801" s="54">
        <f t="shared" si="37"/>
        <v>-5.6495438985202338E-3</v>
      </c>
      <c r="F801" s="55">
        <f t="shared" si="38"/>
        <v>2023</v>
      </c>
    </row>
    <row r="802" spans="1:6" x14ac:dyDescent="0.35">
      <c r="A802" s="69">
        <v>45100</v>
      </c>
      <c r="B802" s="54">
        <v>1831.05</v>
      </c>
      <c r="C802" s="54">
        <v>18665.5</v>
      </c>
      <c r="D802" s="54">
        <f t="shared" si="36"/>
        <v>-9.3552211088363726E-3</v>
      </c>
      <c r="E802" s="54">
        <f t="shared" si="37"/>
        <v>1.3759247500199831E-3</v>
      </c>
      <c r="F802" s="55">
        <f t="shared" si="38"/>
        <v>2023</v>
      </c>
    </row>
    <row r="803" spans="1:6" x14ac:dyDescent="0.35">
      <c r="A803" s="69">
        <v>45103</v>
      </c>
      <c r="B803" s="54">
        <v>1814</v>
      </c>
      <c r="C803" s="54">
        <v>18691.2</v>
      </c>
      <c r="D803" s="54">
        <f t="shared" si="36"/>
        <v>1.382352813729187E-2</v>
      </c>
      <c r="E803" s="54">
        <f t="shared" si="37"/>
        <v>6.729148846371014E-3</v>
      </c>
      <c r="F803" s="55">
        <f t="shared" si="38"/>
        <v>2023</v>
      </c>
    </row>
    <row r="804" spans="1:6" x14ac:dyDescent="0.35">
      <c r="A804" s="69">
        <v>45104</v>
      </c>
      <c r="B804" s="54">
        <v>1839.25</v>
      </c>
      <c r="C804" s="54">
        <v>18817.400000000001</v>
      </c>
      <c r="D804" s="54">
        <f t="shared" si="36"/>
        <v>5.1789001477970656E-3</v>
      </c>
      <c r="E804" s="54">
        <f t="shared" si="37"/>
        <v>8.1875052167941238E-3</v>
      </c>
      <c r="F804" s="55">
        <f t="shared" si="38"/>
        <v>2023</v>
      </c>
    </row>
    <row r="805" spans="1:6" x14ac:dyDescent="0.35">
      <c r="A805" s="69">
        <v>45105</v>
      </c>
      <c r="B805" s="54">
        <v>1848.8</v>
      </c>
      <c r="C805" s="54">
        <v>18972.099999999999</v>
      </c>
      <c r="D805" s="54">
        <f t="shared" si="36"/>
        <v>2.4708443432546235E-2</v>
      </c>
      <c r="E805" s="54">
        <f t="shared" si="37"/>
        <v>1.1370324916684512E-2</v>
      </c>
      <c r="F805" s="55">
        <f t="shared" si="38"/>
        <v>2023</v>
      </c>
    </row>
    <row r="806" spans="1:6" x14ac:dyDescent="0.35">
      <c r="A806" s="69">
        <v>45107</v>
      </c>
      <c r="B806" s="54">
        <v>1895.05</v>
      </c>
      <c r="C806" s="54">
        <v>19189.05</v>
      </c>
      <c r="D806" s="54">
        <f t="shared" si="36"/>
        <v>4.3702681183159248E-3</v>
      </c>
      <c r="E806" s="54">
        <f t="shared" si="37"/>
        <v>6.9330038087148356E-3</v>
      </c>
      <c r="F806" s="55">
        <f t="shared" si="38"/>
        <v>2023</v>
      </c>
    </row>
    <row r="807" spans="1:6" x14ac:dyDescent="0.35">
      <c r="A807" s="69">
        <v>45110</v>
      </c>
      <c r="B807" s="54">
        <v>1903.35</v>
      </c>
      <c r="C807" s="54">
        <v>19322.55</v>
      </c>
      <c r="D807" s="54">
        <f t="shared" si="36"/>
        <v>6.3892961342072096E-3</v>
      </c>
      <c r="E807" s="54">
        <f t="shared" si="37"/>
        <v>3.4330872964505156E-3</v>
      </c>
      <c r="F807" s="55">
        <f t="shared" si="38"/>
        <v>2023</v>
      </c>
    </row>
    <row r="808" spans="1:6" x14ac:dyDescent="0.35">
      <c r="A808" s="69">
        <v>45111</v>
      </c>
      <c r="B808" s="54">
        <v>1915.55</v>
      </c>
      <c r="C808" s="54">
        <v>19389</v>
      </c>
      <c r="D808" s="54">
        <f t="shared" si="36"/>
        <v>-1.7643179371422003E-2</v>
      </c>
      <c r="E808" s="54">
        <f t="shared" si="37"/>
        <v>4.8984854347202441E-4</v>
      </c>
      <c r="F808" s="55">
        <f t="shared" si="38"/>
        <v>2023</v>
      </c>
    </row>
    <row r="809" spans="1:6" x14ac:dyDescent="0.35">
      <c r="A809" s="69">
        <v>45112</v>
      </c>
      <c r="B809" s="54">
        <v>1882.05</v>
      </c>
      <c r="C809" s="54">
        <v>19398.5</v>
      </c>
      <c r="D809" s="54">
        <f t="shared" si="36"/>
        <v>3.7186570764267751E-4</v>
      </c>
      <c r="E809" s="54">
        <f t="shared" si="37"/>
        <v>5.0802509522156619E-3</v>
      </c>
      <c r="F809" s="55">
        <f t="shared" si="38"/>
        <v>2023</v>
      </c>
    </row>
    <row r="810" spans="1:6" x14ac:dyDescent="0.35">
      <c r="A810" s="69">
        <v>45113</v>
      </c>
      <c r="B810" s="54">
        <v>1882.75</v>
      </c>
      <c r="C810" s="54">
        <v>19497.3</v>
      </c>
      <c r="D810" s="54">
        <f t="shared" si="36"/>
        <v>-2.7923693431712486E-3</v>
      </c>
      <c r="E810" s="54">
        <f t="shared" si="37"/>
        <v>-8.524586056305487E-3</v>
      </c>
      <c r="F810" s="55">
        <f t="shared" si="38"/>
        <v>2023</v>
      </c>
    </row>
    <row r="811" spans="1:6" x14ac:dyDescent="0.35">
      <c r="A811" s="69">
        <v>45114</v>
      </c>
      <c r="B811" s="54">
        <v>1877.5</v>
      </c>
      <c r="C811" s="54">
        <v>19331.8</v>
      </c>
      <c r="D811" s="54">
        <f t="shared" si="36"/>
        <v>3.7744921343659337E-3</v>
      </c>
      <c r="E811" s="54">
        <f t="shared" si="37"/>
        <v>1.2458741727910268E-3</v>
      </c>
      <c r="F811" s="55">
        <f t="shared" si="38"/>
        <v>2023</v>
      </c>
    </row>
    <row r="812" spans="1:6" x14ac:dyDescent="0.35">
      <c r="A812" s="69">
        <v>45117</v>
      </c>
      <c r="B812" s="54">
        <v>1884.6</v>
      </c>
      <c r="C812" s="54">
        <v>19355.900000000001</v>
      </c>
      <c r="D812" s="54">
        <f t="shared" si="36"/>
        <v>1.2785369695655118E-2</v>
      </c>
      <c r="E812" s="54">
        <f t="shared" si="37"/>
        <v>4.3046517974119156E-3</v>
      </c>
      <c r="F812" s="55">
        <f t="shared" si="38"/>
        <v>2023</v>
      </c>
    </row>
    <row r="813" spans="1:6" x14ac:dyDescent="0.35">
      <c r="A813" s="69">
        <v>45118</v>
      </c>
      <c r="B813" s="54">
        <v>1908.85</v>
      </c>
      <c r="C813" s="54">
        <v>19439.400000000001</v>
      </c>
      <c r="D813" s="54">
        <f t="shared" si="36"/>
        <v>-2.5440301170003218E-3</v>
      </c>
      <c r="E813" s="54">
        <f t="shared" si="37"/>
        <v>-2.8384742821917232E-3</v>
      </c>
      <c r="F813" s="55">
        <f t="shared" si="38"/>
        <v>2023</v>
      </c>
    </row>
    <row r="814" spans="1:6" x14ac:dyDescent="0.35">
      <c r="A814" s="69">
        <v>45119</v>
      </c>
      <c r="B814" s="54">
        <v>1904</v>
      </c>
      <c r="C814" s="54">
        <v>19384.3</v>
      </c>
      <c r="D814" s="54">
        <f t="shared" si="36"/>
        <v>9.5134270378733239E-3</v>
      </c>
      <c r="E814" s="54">
        <f t="shared" si="37"/>
        <v>1.5181178258223326E-3</v>
      </c>
      <c r="F814" s="55">
        <f t="shared" si="38"/>
        <v>2023</v>
      </c>
    </row>
    <row r="815" spans="1:6" x14ac:dyDescent="0.35">
      <c r="A815" s="69">
        <v>45120</v>
      </c>
      <c r="B815" s="54">
        <v>1922.2</v>
      </c>
      <c r="C815" s="54">
        <v>19413.75</v>
      </c>
      <c r="D815" s="54">
        <f t="shared" si="36"/>
        <v>7.3860828932968192E-2</v>
      </c>
      <c r="E815" s="54">
        <f t="shared" si="37"/>
        <v>7.735121594226721E-3</v>
      </c>
      <c r="F815" s="55">
        <f t="shared" si="38"/>
        <v>2023</v>
      </c>
    </row>
    <row r="816" spans="1:6" x14ac:dyDescent="0.35">
      <c r="A816" s="69">
        <v>45121</v>
      </c>
      <c r="B816" s="54">
        <v>2069.5500000000002</v>
      </c>
      <c r="C816" s="54">
        <v>19564.5</v>
      </c>
      <c r="D816" s="54">
        <f t="shared" si="36"/>
        <v>2.585220166398957E-2</v>
      </c>
      <c r="E816" s="54">
        <f t="shared" si="37"/>
        <v>7.4829856798224494E-3</v>
      </c>
      <c r="F816" s="55">
        <f t="shared" si="38"/>
        <v>2023</v>
      </c>
    </row>
    <row r="817" spans="1:6" x14ac:dyDescent="0.35">
      <c r="A817" s="69">
        <v>45124</v>
      </c>
      <c r="B817" s="54">
        <v>2123.75</v>
      </c>
      <c r="C817" s="54">
        <v>19711.45</v>
      </c>
      <c r="D817" s="54">
        <f t="shared" si="36"/>
        <v>-1.6481640666906138E-4</v>
      </c>
      <c r="E817" s="54">
        <f t="shared" si="37"/>
        <v>1.9158307663970271E-3</v>
      </c>
      <c r="F817" s="55">
        <f t="shared" si="38"/>
        <v>2023</v>
      </c>
    </row>
    <row r="818" spans="1:6" x14ac:dyDescent="0.35">
      <c r="A818" s="69">
        <v>45125</v>
      </c>
      <c r="B818" s="54">
        <v>2123.4</v>
      </c>
      <c r="C818" s="54">
        <v>19749.25</v>
      </c>
      <c r="D818" s="54">
        <f t="shared" si="36"/>
        <v>2.161641980887772E-2</v>
      </c>
      <c r="E818" s="54">
        <f t="shared" si="37"/>
        <v>4.2392642007422158E-3</v>
      </c>
      <c r="F818" s="55">
        <f t="shared" si="38"/>
        <v>2023</v>
      </c>
    </row>
    <row r="819" spans="1:6" x14ac:dyDescent="0.35">
      <c r="A819" s="69">
        <v>45126</v>
      </c>
      <c r="B819" s="54">
        <v>2169.8000000000002</v>
      </c>
      <c r="C819" s="54">
        <v>19833.150000000001</v>
      </c>
      <c r="D819" s="54">
        <f t="shared" si="36"/>
        <v>2.0120668741828978E-2</v>
      </c>
      <c r="E819" s="54">
        <f t="shared" si="37"/>
        <v>7.3344496296331371E-3</v>
      </c>
      <c r="F819" s="55">
        <f t="shared" si="38"/>
        <v>2023</v>
      </c>
    </row>
    <row r="820" spans="1:6" x14ac:dyDescent="0.35">
      <c r="A820" s="69">
        <v>45127</v>
      </c>
      <c r="B820" s="54">
        <v>2213.9</v>
      </c>
      <c r="C820" s="54">
        <v>19979.150000000001</v>
      </c>
      <c r="D820" s="54">
        <f t="shared" si="36"/>
        <v>5.1477341770673542E-2</v>
      </c>
      <c r="E820" s="54">
        <f t="shared" si="37"/>
        <v>-1.1788935034292592E-2</v>
      </c>
      <c r="F820" s="55">
        <f t="shared" si="38"/>
        <v>2023</v>
      </c>
    </row>
    <row r="821" spans="1:6" x14ac:dyDescent="0.35">
      <c r="A821" s="69">
        <v>45128</v>
      </c>
      <c r="B821" s="54">
        <v>2330.85</v>
      </c>
      <c r="C821" s="54">
        <v>19745</v>
      </c>
      <c r="D821" s="54">
        <f t="shared" si="36"/>
        <v>-2.5308457416944166E-2</v>
      </c>
      <c r="E821" s="54">
        <f t="shared" si="37"/>
        <v>-3.6861981977146939E-3</v>
      </c>
      <c r="F821" s="55">
        <f t="shared" si="38"/>
        <v>2023</v>
      </c>
    </row>
    <row r="822" spans="1:6" x14ac:dyDescent="0.35">
      <c r="A822" s="69">
        <v>45131</v>
      </c>
      <c r="B822" s="54">
        <v>2272.6</v>
      </c>
      <c r="C822" s="54">
        <v>19672.349999999999</v>
      </c>
      <c r="D822" s="54">
        <f t="shared" si="36"/>
        <v>-1.982073897518569E-3</v>
      </c>
      <c r="E822" s="54">
        <f t="shared" si="37"/>
        <v>4.1928242334364116E-4</v>
      </c>
      <c r="F822" s="55">
        <f t="shared" si="38"/>
        <v>2023</v>
      </c>
    </row>
    <row r="823" spans="1:6" x14ac:dyDescent="0.35">
      <c r="A823" s="69">
        <v>45132</v>
      </c>
      <c r="B823" s="54">
        <v>2268.1</v>
      </c>
      <c r="C823" s="54">
        <v>19680.599999999999</v>
      </c>
      <c r="D823" s="54">
        <f t="shared" si="36"/>
        <v>-6.0364358376731294E-3</v>
      </c>
      <c r="E823" s="54">
        <f t="shared" si="37"/>
        <v>4.9519981374134591E-3</v>
      </c>
      <c r="F823" s="55">
        <f t="shared" si="38"/>
        <v>2023</v>
      </c>
    </row>
    <row r="824" spans="1:6" x14ac:dyDescent="0.35">
      <c r="A824" s="69">
        <v>45133</v>
      </c>
      <c r="B824" s="54">
        <v>2254.4499999999998</v>
      </c>
      <c r="C824" s="54">
        <v>19778.3</v>
      </c>
      <c r="D824" s="54">
        <f t="shared" si="36"/>
        <v>1.1685982084985584E-2</v>
      </c>
      <c r="E824" s="54">
        <f t="shared" si="37"/>
        <v>-6.0043488655605838E-3</v>
      </c>
      <c r="F824" s="55">
        <f t="shared" si="38"/>
        <v>2023</v>
      </c>
    </row>
    <row r="825" spans="1:6" x14ac:dyDescent="0.35">
      <c r="A825" s="69">
        <v>45134</v>
      </c>
      <c r="B825" s="54">
        <v>2280.9499999999998</v>
      </c>
      <c r="C825" s="54">
        <v>19659.900000000001</v>
      </c>
      <c r="D825" s="54">
        <f t="shared" si="36"/>
        <v>-1.3506263177192198E-2</v>
      </c>
      <c r="E825" s="54">
        <f t="shared" si="37"/>
        <v>-7.0472793931755033E-4</v>
      </c>
      <c r="F825" s="55">
        <f t="shared" si="38"/>
        <v>2023</v>
      </c>
    </row>
    <row r="826" spans="1:6" x14ac:dyDescent="0.35">
      <c r="A826" s="69">
        <v>45135</v>
      </c>
      <c r="B826" s="54">
        <v>2250.35</v>
      </c>
      <c r="C826" s="54">
        <v>19646.05</v>
      </c>
      <c r="D826" s="54">
        <f t="shared" si="36"/>
        <v>1.9625297108431142E-2</v>
      </c>
      <c r="E826" s="54">
        <f t="shared" si="37"/>
        <v>5.4695776061646278E-3</v>
      </c>
      <c r="F826" s="55">
        <f t="shared" si="38"/>
        <v>2023</v>
      </c>
    </row>
    <row r="827" spans="1:6" x14ac:dyDescent="0.35">
      <c r="A827" s="69">
        <v>45138</v>
      </c>
      <c r="B827" s="54">
        <v>2294.9499999999998</v>
      </c>
      <c r="C827" s="54">
        <v>19753.8</v>
      </c>
      <c r="D827" s="54">
        <f t="shared" si="36"/>
        <v>-1.5252039989909318E-4</v>
      </c>
      <c r="E827" s="54">
        <f t="shared" si="37"/>
        <v>-1.0256450116385468E-3</v>
      </c>
      <c r="F827" s="55">
        <f t="shared" si="38"/>
        <v>2023</v>
      </c>
    </row>
    <row r="828" spans="1:6" x14ac:dyDescent="0.35">
      <c r="A828" s="69">
        <v>45139</v>
      </c>
      <c r="B828" s="54">
        <v>2294.6</v>
      </c>
      <c r="C828" s="54">
        <v>19733.55</v>
      </c>
      <c r="D828" s="54">
        <f t="shared" si="36"/>
        <v>-3.8471407968056606E-2</v>
      </c>
      <c r="E828" s="54">
        <f t="shared" si="37"/>
        <v>-1.0545154913078857E-2</v>
      </c>
      <c r="F828" s="55">
        <f t="shared" si="38"/>
        <v>2023</v>
      </c>
    </row>
    <row r="829" spans="1:6" x14ac:dyDescent="0.35">
      <c r="A829" s="69">
        <v>45140</v>
      </c>
      <c r="B829" s="54">
        <v>2208</v>
      </c>
      <c r="C829" s="54">
        <v>19526.55</v>
      </c>
      <c r="D829" s="54">
        <f t="shared" si="36"/>
        <v>1.2892082308040344E-2</v>
      </c>
      <c r="E829" s="54">
        <f t="shared" si="37"/>
        <v>-7.4483358208647541E-3</v>
      </c>
      <c r="F829" s="55">
        <f t="shared" si="38"/>
        <v>2023</v>
      </c>
    </row>
    <row r="830" spans="1:6" x14ac:dyDescent="0.35">
      <c r="A830" s="69">
        <v>45141</v>
      </c>
      <c r="B830" s="54">
        <v>2236.65</v>
      </c>
      <c r="C830" s="54">
        <v>19381.650000000001</v>
      </c>
      <c r="D830" s="54">
        <f t="shared" si="36"/>
        <v>1.1999344027642984E-2</v>
      </c>
      <c r="E830" s="54">
        <f t="shared" si="37"/>
        <v>6.9591384917051941E-3</v>
      </c>
      <c r="F830" s="55">
        <f t="shared" si="38"/>
        <v>2023</v>
      </c>
    </row>
    <row r="831" spans="1:6" x14ac:dyDescent="0.35">
      <c r="A831" s="69">
        <v>45142</v>
      </c>
      <c r="B831" s="54">
        <v>2263.65</v>
      </c>
      <c r="C831" s="54">
        <v>19517</v>
      </c>
      <c r="D831" s="54">
        <f t="shared" si="36"/>
        <v>2.895408843732647E-2</v>
      </c>
      <c r="E831" s="54">
        <f t="shared" si="37"/>
        <v>4.1059209962603233E-3</v>
      </c>
      <c r="F831" s="55">
        <f t="shared" si="38"/>
        <v>2023</v>
      </c>
    </row>
    <row r="832" spans="1:6" x14ac:dyDescent="0.35">
      <c r="A832" s="69">
        <v>45145</v>
      </c>
      <c r="B832" s="54">
        <v>2330.15</v>
      </c>
      <c r="C832" s="54">
        <v>19597.3</v>
      </c>
      <c r="D832" s="54">
        <f t="shared" si="36"/>
        <v>4.2823866913724853E-3</v>
      </c>
      <c r="E832" s="54">
        <f t="shared" si="37"/>
        <v>-1.3505873532751007E-3</v>
      </c>
      <c r="F832" s="55">
        <f t="shared" si="38"/>
        <v>2023</v>
      </c>
    </row>
    <row r="833" spans="1:6" x14ac:dyDescent="0.35">
      <c r="A833" s="69">
        <v>45146</v>
      </c>
      <c r="B833" s="54">
        <v>2340.15</v>
      </c>
      <c r="C833" s="54">
        <v>19570.849999999999</v>
      </c>
      <c r="D833" s="54">
        <f t="shared" si="36"/>
        <v>9.8439175248723754E-3</v>
      </c>
      <c r="E833" s="54">
        <f t="shared" si="37"/>
        <v>3.1476887690017655E-3</v>
      </c>
      <c r="F833" s="55">
        <f t="shared" si="38"/>
        <v>2023</v>
      </c>
    </row>
    <row r="834" spans="1:6" x14ac:dyDescent="0.35">
      <c r="A834" s="69">
        <v>45147</v>
      </c>
      <c r="B834" s="54">
        <v>2363.3000000000002</v>
      </c>
      <c r="C834" s="54">
        <v>19632.55</v>
      </c>
      <c r="D834" s="54">
        <f t="shared" ref="D834:D897" si="39">LN(B835/B834)</f>
        <v>-6.1118139404506026E-3</v>
      </c>
      <c r="E834" s="54">
        <f t="shared" ref="E834:E897" si="40">LN(C835/C834)</f>
        <v>-4.5666201045435747E-3</v>
      </c>
      <c r="F834" s="55">
        <f t="shared" ref="F834:F897" si="41">YEAR(A834)</f>
        <v>2023</v>
      </c>
    </row>
    <row r="835" spans="1:6" x14ac:dyDescent="0.35">
      <c r="A835" s="69">
        <v>45148</v>
      </c>
      <c r="B835" s="54">
        <v>2348.9</v>
      </c>
      <c r="C835" s="54">
        <v>19543.099999999999</v>
      </c>
      <c r="D835" s="54">
        <f t="shared" si="39"/>
        <v>-8.2290917616600866E-3</v>
      </c>
      <c r="E835" s="54">
        <f t="shared" si="40"/>
        <v>-5.8915169615944563E-3</v>
      </c>
      <c r="F835" s="55">
        <f t="shared" si="41"/>
        <v>2023</v>
      </c>
    </row>
    <row r="836" spans="1:6" x14ac:dyDescent="0.35">
      <c r="A836" s="69">
        <v>45149</v>
      </c>
      <c r="B836" s="54">
        <v>2329.65</v>
      </c>
      <c r="C836" s="54">
        <v>19428.3</v>
      </c>
      <c r="D836" s="54">
        <f t="shared" si="39"/>
        <v>1.6137623477275414E-2</v>
      </c>
      <c r="E836" s="54">
        <f t="shared" si="40"/>
        <v>3.2164393779061565E-4</v>
      </c>
      <c r="F836" s="55">
        <f t="shared" si="41"/>
        <v>2023</v>
      </c>
    </row>
    <row r="837" spans="1:6" x14ac:dyDescent="0.35">
      <c r="A837" s="69">
        <v>45152</v>
      </c>
      <c r="B837" s="54">
        <v>2367.5500000000002</v>
      </c>
      <c r="C837" s="54">
        <v>19434.55</v>
      </c>
      <c r="D837" s="54">
        <f t="shared" si="39"/>
        <v>-2.2726794604260692E-2</v>
      </c>
      <c r="E837" s="54">
        <f t="shared" si="40"/>
        <v>1.5655711297147335E-3</v>
      </c>
      <c r="F837" s="55">
        <f t="shared" si="41"/>
        <v>2023</v>
      </c>
    </row>
    <row r="838" spans="1:6" x14ac:dyDescent="0.35">
      <c r="A838" s="69">
        <v>45154</v>
      </c>
      <c r="B838" s="54">
        <v>2314.35</v>
      </c>
      <c r="C838" s="54">
        <v>19465</v>
      </c>
      <c r="D838" s="54">
        <f t="shared" si="39"/>
        <v>1.0979322838699642E-2</v>
      </c>
      <c r="E838" s="54">
        <f t="shared" si="40"/>
        <v>-5.137758290060533E-3</v>
      </c>
      <c r="F838" s="55">
        <f t="shared" si="41"/>
        <v>2023</v>
      </c>
    </row>
    <row r="839" spans="1:6" x14ac:dyDescent="0.35">
      <c r="A839" s="69">
        <v>45155</v>
      </c>
      <c r="B839" s="54">
        <v>2339.9</v>
      </c>
      <c r="C839" s="54">
        <v>19365.25</v>
      </c>
      <c r="D839" s="54">
        <f t="shared" si="39"/>
        <v>-2.109796564972757E-2</v>
      </c>
      <c r="E839" s="54">
        <f t="shared" si="40"/>
        <v>-2.8493583662490217E-3</v>
      </c>
      <c r="F839" s="55">
        <f t="shared" si="41"/>
        <v>2023</v>
      </c>
    </row>
    <row r="840" spans="1:6" x14ac:dyDescent="0.35">
      <c r="A840" s="69">
        <v>45156</v>
      </c>
      <c r="B840" s="54">
        <v>2291.0500000000002</v>
      </c>
      <c r="C840" s="54">
        <v>19310.150000000001</v>
      </c>
      <c r="D840" s="54">
        <f t="shared" si="39"/>
        <v>1.1219857497211405E-2</v>
      </c>
      <c r="E840" s="54">
        <f t="shared" si="40"/>
        <v>4.3122503280009121E-3</v>
      </c>
      <c r="F840" s="55">
        <f t="shared" si="41"/>
        <v>2023</v>
      </c>
    </row>
    <row r="841" spans="1:6" x14ac:dyDescent="0.35">
      <c r="A841" s="69">
        <v>45159</v>
      </c>
      <c r="B841" s="54">
        <v>2316.9</v>
      </c>
      <c r="C841" s="54">
        <v>19393.599999999999</v>
      </c>
      <c r="D841" s="54">
        <f t="shared" si="39"/>
        <v>2.2026758120478589E-2</v>
      </c>
      <c r="E841" s="54">
        <f t="shared" si="40"/>
        <v>1.4694489979421606E-4</v>
      </c>
      <c r="F841" s="55">
        <f t="shared" si="41"/>
        <v>2023</v>
      </c>
    </row>
    <row r="842" spans="1:6" x14ac:dyDescent="0.35">
      <c r="A842" s="69">
        <v>45160</v>
      </c>
      <c r="B842" s="54">
        <v>2368.5</v>
      </c>
      <c r="C842" s="54">
        <v>19396.45</v>
      </c>
      <c r="D842" s="54">
        <f t="shared" si="39"/>
        <v>-6.0558763854262369E-3</v>
      </c>
      <c r="E842" s="54">
        <f t="shared" si="40"/>
        <v>2.4484795493044608E-3</v>
      </c>
      <c r="F842" s="55">
        <f t="shared" si="41"/>
        <v>2023</v>
      </c>
    </row>
    <row r="843" spans="1:6" x14ac:dyDescent="0.35">
      <c r="A843" s="69">
        <v>45161</v>
      </c>
      <c r="B843" s="54">
        <v>2354.1999999999998</v>
      </c>
      <c r="C843" s="54">
        <v>19444</v>
      </c>
      <c r="D843" s="54">
        <f t="shared" si="39"/>
        <v>4.5544493435876229E-2</v>
      </c>
      <c r="E843" s="54">
        <f t="shared" si="40"/>
        <v>-2.9512752327599183E-3</v>
      </c>
      <c r="F843" s="55">
        <f t="shared" si="41"/>
        <v>2023</v>
      </c>
    </row>
    <row r="844" spans="1:6" x14ac:dyDescent="0.35">
      <c r="A844" s="69">
        <v>45162</v>
      </c>
      <c r="B844" s="54">
        <v>2463.9</v>
      </c>
      <c r="C844" s="54">
        <v>19386.7</v>
      </c>
      <c r="D844" s="54">
        <f t="shared" si="39"/>
        <v>-2.9573819197514475E-2</v>
      </c>
      <c r="E844" s="54">
        <f t="shared" si="40"/>
        <v>-6.2557606509410085E-3</v>
      </c>
      <c r="F844" s="55">
        <f t="shared" si="41"/>
        <v>2023</v>
      </c>
    </row>
    <row r="845" spans="1:6" x14ac:dyDescent="0.35">
      <c r="A845" s="69">
        <v>45163</v>
      </c>
      <c r="B845" s="54">
        <v>2392.1</v>
      </c>
      <c r="C845" s="54">
        <v>19265.8</v>
      </c>
      <c r="D845" s="54">
        <f t="shared" si="39"/>
        <v>-2.606735001062194E-2</v>
      </c>
      <c r="E845" s="54">
        <f t="shared" si="40"/>
        <v>2.0870149919961396E-3</v>
      </c>
      <c r="F845" s="55">
        <f t="shared" si="41"/>
        <v>2023</v>
      </c>
    </row>
    <row r="846" spans="1:6" x14ac:dyDescent="0.35">
      <c r="A846" s="69">
        <v>45166</v>
      </c>
      <c r="B846" s="54">
        <v>2330.5500000000002</v>
      </c>
      <c r="C846" s="54">
        <v>19306.05</v>
      </c>
      <c r="D846" s="54">
        <f t="shared" si="39"/>
        <v>-8.4239599317392187E-3</v>
      </c>
      <c r="E846" s="54">
        <f t="shared" si="40"/>
        <v>1.8939840636754115E-3</v>
      </c>
      <c r="F846" s="55">
        <f t="shared" si="41"/>
        <v>2023</v>
      </c>
    </row>
    <row r="847" spans="1:6" x14ac:dyDescent="0.35">
      <c r="A847" s="69">
        <v>45167</v>
      </c>
      <c r="B847" s="54">
        <v>2311</v>
      </c>
      <c r="C847" s="54">
        <v>19342.650000000001</v>
      </c>
      <c r="D847" s="54">
        <f t="shared" si="39"/>
        <v>2.3457034113882974E-2</v>
      </c>
      <c r="E847" s="54">
        <f t="shared" si="40"/>
        <v>2.4812549073918429E-4</v>
      </c>
      <c r="F847" s="55">
        <f t="shared" si="41"/>
        <v>2023</v>
      </c>
    </row>
    <row r="848" spans="1:6" x14ac:dyDescent="0.35">
      <c r="A848" s="69">
        <v>45168</v>
      </c>
      <c r="B848" s="54">
        <v>2365.85</v>
      </c>
      <c r="C848" s="54">
        <v>19347.45</v>
      </c>
      <c r="D848" s="54">
        <f t="shared" si="39"/>
        <v>2.6259942813046968E-2</v>
      </c>
      <c r="E848" s="54">
        <f t="shared" si="40"/>
        <v>-4.8521839960522653E-3</v>
      </c>
      <c r="F848" s="55">
        <f t="shared" si="41"/>
        <v>2023</v>
      </c>
    </row>
    <row r="849" spans="1:6" x14ac:dyDescent="0.35">
      <c r="A849" s="69">
        <v>45169</v>
      </c>
      <c r="B849" s="54">
        <v>2428.8000000000002</v>
      </c>
      <c r="C849" s="54">
        <v>19253.8</v>
      </c>
      <c r="D849" s="54">
        <f t="shared" si="39"/>
        <v>1.8099552452393861E-3</v>
      </c>
      <c r="E849" s="54">
        <f t="shared" si="40"/>
        <v>9.3825564041325141E-3</v>
      </c>
      <c r="F849" s="55">
        <f t="shared" si="41"/>
        <v>2023</v>
      </c>
    </row>
    <row r="850" spans="1:6" x14ac:dyDescent="0.35">
      <c r="A850" s="69">
        <v>45170</v>
      </c>
      <c r="B850" s="54">
        <v>2433.1999999999998</v>
      </c>
      <c r="C850" s="54">
        <v>19435.3</v>
      </c>
      <c r="D850" s="54">
        <f t="shared" si="39"/>
        <v>2.4038838223516861E-2</v>
      </c>
      <c r="E850" s="54">
        <f t="shared" si="40"/>
        <v>4.7992988144208368E-3</v>
      </c>
      <c r="F850" s="55">
        <f t="shared" si="41"/>
        <v>2023</v>
      </c>
    </row>
    <row r="851" spans="1:6" x14ac:dyDescent="0.35">
      <c r="A851" s="69">
        <v>45173</v>
      </c>
      <c r="B851" s="54">
        <v>2492.4</v>
      </c>
      <c r="C851" s="54">
        <v>19528.8</v>
      </c>
      <c r="D851" s="54">
        <f t="shared" si="39"/>
        <v>1.1766483998094468E-2</v>
      </c>
      <c r="E851" s="54">
        <f t="shared" si="40"/>
        <v>2.3578342385654032E-3</v>
      </c>
      <c r="F851" s="55">
        <f t="shared" si="41"/>
        <v>2023</v>
      </c>
    </row>
    <row r="852" spans="1:6" x14ac:dyDescent="0.35">
      <c r="A852" s="69">
        <v>45174</v>
      </c>
      <c r="B852" s="54">
        <v>2521.9</v>
      </c>
      <c r="C852" s="54">
        <v>19574.900000000001</v>
      </c>
      <c r="D852" s="54">
        <f t="shared" si="39"/>
        <v>-1.8469205266749424E-2</v>
      </c>
      <c r="E852" s="54">
        <f t="shared" si="40"/>
        <v>1.8450495779825536E-3</v>
      </c>
      <c r="F852" s="55">
        <f t="shared" si="41"/>
        <v>2023</v>
      </c>
    </row>
    <row r="853" spans="1:6" x14ac:dyDescent="0.35">
      <c r="A853" s="69">
        <v>45175</v>
      </c>
      <c r="B853" s="54">
        <v>2475.75</v>
      </c>
      <c r="C853" s="54">
        <v>19611.05</v>
      </c>
      <c r="D853" s="54">
        <f t="shared" si="39"/>
        <v>-2.9529571233522498E-3</v>
      </c>
      <c r="E853" s="54">
        <f t="shared" si="40"/>
        <v>5.8976074708040286E-3</v>
      </c>
      <c r="F853" s="55">
        <f t="shared" si="41"/>
        <v>2023</v>
      </c>
    </row>
    <row r="854" spans="1:6" x14ac:dyDescent="0.35">
      <c r="A854" s="69">
        <v>45176</v>
      </c>
      <c r="B854" s="54">
        <v>2468.4499999999998</v>
      </c>
      <c r="C854" s="54">
        <v>19727.05</v>
      </c>
      <c r="D854" s="54">
        <f t="shared" si="39"/>
        <v>-9.3219315306408885E-4</v>
      </c>
      <c r="E854" s="54">
        <f t="shared" si="40"/>
        <v>4.6982158385487317E-3</v>
      </c>
      <c r="F854" s="55">
        <f t="shared" si="41"/>
        <v>2023</v>
      </c>
    </row>
    <row r="855" spans="1:6" x14ac:dyDescent="0.35">
      <c r="A855" s="69">
        <v>45177</v>
      </c>
      <c r="B855" s="54">
        <v>2466.15</v>
      </c>
      <c r="C855" s="54">
        <v>19819.95</v>
      </c>
      <c r="D855" s="54">
        <f t="shared" si="39"/>
        <v>4.1678529155108448E-3</v>
      </c>
      <c r="E855" s="54">
        <f t="shared" si="40"/>
        <v>8.8607507045185847E-3</v>
      </c>
      <c r="F855" s="55">
        <f t="shared" si="41"/>
        <v>2023</v>
      </c>
    </row>
    <row r="856" spans="1:6" x14ac:dyDescent="0.35">
      <c r="A856" s="69">
        <v>45180</v>
      </c>
      <c r="B856" s="54">
        <v>2476.4499999999998</v>
      </c>
      <c r="C856" s="54">
        <v>19996.349999999999</v>
      </c>
      <c r="D856" s="54">
        <f t="shared" si="39"/>
        <v>-3.3369430214234669E-3</v>
      </c>
      <c r="E856" s="54">
        <f t="shared" si="40"/>
        <v>-1.5754115795312492E-4</v>
      </c>
      <c r="F856" s="55">
        <f t="shared" si="41"/>
        <v>2023</v>
      </c>
    </row>
    <row r="857" spans="1:6" x14ac:dyDescent="0.35">
      <c r="A857" s="69">
        <v>45181</v>
      </c>
      <c r="B857" s="54">
        <v>2468.1999999999998</v>
      </c>
      <c r="C857" s="54">
        <v>19993.2</v>
      </c>
      <c r="D857" s="54">
        <f t="shared" si="39"/>
        <v>-9.4031181509835141E-3</v>
      </c>
      <c r="E857" s="54">
        <f t="shared" si="40"/>
        <v>3.833947067360447E-3</v>
      </c>
      <c r="F857" s="55">
        <f t="shared" si="41"/>
        <v>2023</v>
      </c>
    </row>
    <row r="858" spans="1:6" x14ac:dyDescent="0.35">
      <c r="A858" s="69">
        <v>45182</v>
      </c>
      <c r="B858" s="54">
        <v>2445.1</v>
      </c>
      <c r="C858" s="54">
        <v>20070</v>
      </c>
      <c r="D858" s="54">
        <f t="shared" si="39"/>
        <v>6.8676969779545988E-3</v>
      </c>
      <c r="E858" s="54">
        <f t="shared" si="40"/>
        <v>1.6478692204573958E-3</v>
      </c>
      <c r="F858" s="55">
        <f t="shared" si="41"/>
        <v>2023</v>
      </c>
    </row>
    <row r="859" spans="1:6" x14ac:dyDescent="0.35">
      <c r="A859" s="69">
        <v>45183</v>
      </c>
      <c r="B859" s="54">
        <v>2461.9499999999998</v>
      </c>
      <c r="C859" s="54">
        <v>20103.099999999999</v>
      </c>
      <c r="D859" s="54">
        <f t="shared" si="39"/>
        <v>1.2593252339174674E-2</v>
      </c>
      <c r="E859" s="54">
        <f t="shared" si="40"/>
        <v>4.4297877773378114E-3</v>
      </c>
      <c r="F859" s="55">
        <f t="shared" si="41"/>
        <v>2023</v>
      </c>
    </row>
    <row r="860" spans="1:6" x14ac:dyDescent="0.35">
      <c r="A860" s="69">
        <v>45184</v>
      </c>
      <c r="B860" s="54">
        <v>2493.15</v>
      </c>
      <c r="C860" s="54">
        <v>20192.349999999999</v>
      </c>
      <c r="D860" s="54">
        <f t="shared" si="39"/>
        <v>-3.6768071318595097E-3</v>
      </c>
      <c r="E860" s="54">
        <f t="shared" si="40"/>
        <v>-2.9286591638919969E-3</v>
      </c>
      <c r="F860" s="55">
        <f t="shared" si="41"/>
        <v>2023</v>
      </c>
    </row>
    <row r="861" spans="1:6" x14ac:dyDescent="0.35">
      <c r="A861" s="69">
        <v>45187</v>
      </c>
      <c r="B861" s="54">
        <v>2484</v>
      </c>
      <c r="C861" s="54">
        <v>20133.3</v>
      </c>
      <c r="D861" s="54">
        <f t="shared" si="39"/>
        <v>-5.2348643150889967E-4</v>
      </c>
      <c r="E861" s="54">
        <f t="shared" si="40"/>
        <v>-1.1585079627478101E-2</v>
      </c>
      <c r="F861" s="55">
        <f t="shared" si="41"/>
        <v>2023</v>
      </c>
    </row>
    <row r="862" spans="1:6" x14ac:dyDescent="0.35">
      <c r="A862" s="69">
        <v>45189</v>
      </c>
      <c r="B862" s="54">
        <v>2482.6999999999998</v>
      </c>
      <c r="C862" s="54">
        <v>19901.400000000001</v>
      </c>
      <c r="D862" s="54">
        <f t="shared" si="39"/>
        <v>2.1726893555406124E-3</v>
      </c>
      <c r="E862" s="54">
        <f t="shared" si="40"/>
        <v>-8.0240064758942062E-3</v>
      </c>
      <c r="F862" s="55">
        <f t="shared" si="41"/>
        <v>2023</v>
      </c>
    </row>
    <row r="863" spans="1:6" x14ac:dyDescent="0.35">
      <c r="A863" s="69">
        <v>45190</v>
      </c>
      <c r="B863" s="54">
        <v>2488.1</v>
      </c>
      <c r="C863" s="54">
        <v>19742.349999999999</v>
      </c>
      <c r="D863" s="54">
        <f t="shared" si="39"/>
        <v>-8.4437390674466442E-4</v>
      </c>
      <c r="E863" s="54">
        <f t="shared" si="40"/>
        <v>-3.45540040278986E-3</v>
      </c>
      <c r="F863" s="55">
        <f t="shared" si="41"/>
        <v>2023</v>
      </c>
    </row>
    <row r="864" spans="1:6" x14ac:dyDescent="0.35">
      <c r="A864" s="69">
        <v>45191</v>
      </c>
      <c r="B864" s="54">
        <v>2486</v>
      </c>
      <c r="C864" s="54">
        <v>19674.25</v>
      </c>
      <c r="D864" s="54">
        <f t="shared" si="39"/>
        <v>2.9722478402182308E-3</v>
      </c>
      <c r="E864" s="54">
        <f t="shared" si="40"/>
        <v>1.5248241369763049E-5</v>
      </c>
      <c r="F864" s="55">
        <f t="shared" si="41"/>
        <v>2023</v>
      </c>
    </row>
    <row r="865" spans="1:6" x14ac:dyDescent="0.35">
      <c r="A865" s="69">
        <v>45194</v>
      </c>
      <c r="B865" s="54">
        <v>2493.4</v>
      </c>
      <c r="C865" s="54">
        <v>19674.55</v>
      </c>
      <c r="D865" s="54">
        <f t="shared" si="39"/>
        <v>-2.1055115832459916E-2</v>
      </c>
      <c r="E865" s="54">
        <f t="shared" si="40"/>
        <v>-5.00772140080995E-4</v>
      </c>
      <c r="F865" s="55">
        <f t="shared" si="41"/>
        <v>2023</v>
      </c>
    </row>
    <row r="866" spans="1:6" x14ac:dyDescent="0.35">
      <c r="A866" s="69">
        <v>45195</v>
      </c>
      <c r="B866" s="54">
        <v>2441.4499999999998</v>
      </c>
      <c r="C866" s="54">
        <v>19664.7</v>
      </c>
      <c r="D866" s="54">
        <f t="shared" si="39"/>
        <v>1.1626025543608058E-2</v>
      </c>
      <c r="E866" s="54">
        <f t="shared" si="40"/>
        <v>2.6281624476409476E-3</v>
      </c>
      <c r="F866" s="55">
        <f t="shared" si="41"/>
        <v>2023</v>
      </c>
    </row>
    <row r="867" spans="1:6" x14ac:dyDescent="0.35">
      <c r="A867" s="69">
        <v>45196</v>
      </c>
      <c r="B867" s="54">
        <v>2470</v>
      </c>
      <c r="C867" s="54">
        <v>19716.45</v>
      </c>
      <c r="D867" s="54">
        <f t="shared" si="39"/>
        <v>-3.4683652774177398E-2</v>
      </c>
      <c r="E867" s="54">
        <f t="shared" si="40"/>
        <v>-9.8318834812623906E-3</v>
      </c>
      <c r="F867" s="55">
        <f t="shared" si="41"/>
        <v>2023</v>
      </c>
    </row>
    <row r="868" spans="1:6" x14ac:dyDescent="0.35">
      <c r="A868" s="69">
        <v>45197</v>
      </c>
      <c r="B868" s="54">
        <v>2385.8000000000002</v>
      </c>
      <c r="C868" s="54">
        <v>19523.55</v>
      </c>
      <c r="D868" s="54">
        <f t="shared" si="39"/>
        <v>-3.8636029919195511E-3</v>
      </c>
      <c r="E868" s="54">
        <f t="shared" si="40"/>
        <v>5.860311931494425E-3</v>
      </c>
      <c r="F868" s="55">
        <f t="shared" si="41"/>
        <v>2023</v>
      </c>
    </row>
    <row r="869" spans="1:6" x14ac:dyDescent="0.35">
      <c r="A869" s="69">
        <v>45198</v>
      </c>
      <c r="B869" s="54">
        <v>2376.6</v>
      </c>
      <c r="C869" s="54">
        <v>19638.3</v>
      </c>
      <c r="D869" s="54">
        <f t="shared" si="39"/>
        <v>1.3245452754887727E-3</v>
      </c>
      <c r="E869" s="54">
        <f t="shared" si="40"/>
        <v>-5.5940023911736723E-3</v>
      </c>
      <c r="F869" s="55">
        <f t="shared" si="41"/>
        <v>2023</v>
      </c>
    </row>
    <row r="870" spans="1:6" x14ac:dyDescent="0.35">
      <c r="A870" s="69">
        <v>45202</v>
      </c>
      <c r="B870" s="54">
        <v>2379.75</v>
      </c>
      <c r="C870" s="54">
        <v>19528.75</v>
      </c>
      <c r="D870" s="54">
        <f t="shared" si="39"/>
        <v>1.978408835048907E-2</v>
      </c>
      <c r="E870" s="54">
        <f t="shared" si="40"/>
        <v>-4.7555771219727006E-3</v>
      </c>
      <c r="F870" s="55">
        <f t="shared" si="41"/>
        <v>2023</v>
      </c>
    </row>
    <row r="871" spans="1:6" x14ac:dyDescent="0.35">
      <c r="A871" s="69">
        <v>45203</v>
      </c>
      <c r="B871" s="54">
        <v>2427.3000000000002</v>
      </c>
      <c r="C871" s="54">
        <v>19436.099999999999</v>
      </c>
      <c r="D871" s="54">
        <f t="shared" si="39"/>
        <v>1.7924334122468126E-2</v>
      </c>
      <c r="E871" s="54">
        <f t="shared" si="40"/>
        <v>5.625709872108961E-3</v>
      </c>
      <c r="F871" s="55">
        <f t="shared" si="41"/>
        <v>2023</v>
      </c>
    </row>
    <row r="872" spans="1:6" x14ac:dyDescent="0.35">
      <c r="A872" s="69">
        <v>45204</v>
      </c>
      <c r="B872" s="54">
        <v>2471.1999999999998</v>
      </c>
      <c r="C872" s="54">
        <v>19545.75</v>
      </c>
      <c r="D872" s="54">
        <f t="shared" si="39"/>
        <v>7.9803736578084629E-3</v>
      </c>
      <c r="E872" s="54">
        <f t="shared" si="40"/>
        <v>5.4975680085460219E-3</v>
      </c>
      <c r="F872" s="55">
        <f t="shared" si="41"/>
        <v>2023</v>
      </c>
    </row>
    <row r="873" spans="1:6" x14ac:dyDescent="0.35">
      <c r="A873" s="69">
        <v>45205</v>
      </c>
      <c r="B873" s="54">
        <v>2491</v>
      </c>
      <c r="C873" s="54">
        <v>19653.5</v>
      </c>
      <c r="D873" s="54">
        <f t="shared" si="39"/>
        <v>-6.4438402593897269E-3</v>
      </c>
      <c r="E873" s="54">
        <f t="shared" si="40"/>
        <v>-7.2078410705406432E-3</v>
      </c>
      <c r="F873" s="55">
        <f t="shared" si="41"/>
        <v>2023</v>
      </c>
    </row>
    <row r="874" spans="1:6" x14ac:dyDescent="0.35">
      <c r="A874" s="69">
        <v>45208</v>
      </c>
      <c r="B874" s="54">
        <v>2475</v>
      </c>
      <c r="C874" s="54">
        <v>19512.349999999999</v>
      </c>
      <c r="D874" s="54">
        <f t="shared" si="39"/>
        <v>2.0988060658811399E-3</v>
      </c>
      <c r="E874" s="54">
        <f t="shared" si="40"/>
        <v>9.0556761096549799E-3</v>
      </c>
      <c r="F874" s="55">
        <f t="shared" si="41"/>
        <v>2023</v>
      </c>
    </row>
    <row r="875" spans="1:6" x14ac:dyDescent="0.35">
      <c r="A875" s="69">
        <v>45209</v>
      </c>
      <c r="B875" s="54">
        <v>2480.1999999999998</v>
      </c>
      <c r="C875" s="54">
        <v>19689.849999999999</v>
      </c>
      <c r="D875" s="54">
        <f t="shared" si="39"/>
        <v>-6.5125728232022697E-3</v>
      </c>
      <c r="E875" s="54">
        <f t="shared" si="40"/>
        <v>6.1517312470612808E-3</v>
      </c>
      <c r="F875" s="55">
        <f t="shared" si="41"/>
        <v>2023</v>
      </c>
    </row>
    <row r="876" spans="1:6" x14ac:dyDescent="0.35">
      <c r="A876" s="69">
        <v>45210</v>
      </c>
      <c r="B876" s="54">
        <v>2464.1</v>
      </c>
      <c r="C876" s="54">
        <v>19811.349999999999</v>
      </c>
      <c r="D876" s="54">
        <f t="shared" si="39"/>
        <v>-3.3536957621522175E-3</v>
      </c>
      <c r="E876" s="54">
        <f t="shared" si="40"/>
        <v>-8.761443143344063E-4</v>
      </c>
      <c r="F876" s="55">
        <f t="shared" si="41"/>
        <v>2023</v>
      </c>
    </row>
    <row r="877" spans="1:6" x14ac:dyDescent="0.35">
      <c r="A877" s="69">
        <v>45211</v>
      </c>
      <c r="B877" s="54">
        <v>2455.85</v>
      </c>
      <c r="C877" s="54">
        <v>19794</v>
      </c>
      <c r="D877" s="54">
        <f t="shared" si="39"/>
        <v>-3.2970360459130481E-2</v>
      </c>
      <c r="E877" s="54">
        <f t="shared" si="40"/>
        <v>-2.1722069835914395E-3</v>
      </c>
      <c r="F877" s="55">
        <f t="shared" si="41"/>
        <v>2023</v>
      </c>
    </row>
    <row r="878" spans="1:6" x14ac:dyDescent="0.35">
      <c r="A878" s="69">
        <v>45212</v>
      </c>
      <c r="B878" s="54">
        <v>2376.1999999999998</v>
      </c>
      <c r="C878" s="54">
        <v>19751.05</v>
      </c>
      <c r="D878" s="54">
        <f t="shared" si="39"/>
        <v>-7.0528408577447037E-3</v>
      </c>
      <c r="E878" s="54">
        <f t="shared" si="40"/>
        <v>-9.7764097466312354E-4</v>
      </c>
      <c r="F878" s="55">
        <f t="shared" si="41"/>
        <v>2023</v>
      </c>
    </row>
    <row r="879" spans="1:6" x14ac:dyDescent="0.35">
      <c r="A879" s="69">
        <v>45215</v>
      </c>
      <c r="B879" s="54">
        <v>2359.5</v>
      </c>
      <c r="C879" s="54">
        <v>19731.75</v>
      </c>
      <c r="D879" s="54">
        <f t="shared" si="39"/>
        <v>-2.9570457321119546E-2</v>
      </c>
      <c r="E879" s="54">
        <f t="shared" si="40"/>
        <v>4.0335636613206176E-3</v>
      </c>
      <c r="F879" s="55">
        <f t="shared" si="41"/>
        <v>2023</v>
      </c>
    </row>
    <row r="880" spans="1:6" x14ac:dyDescent="0.35">
      <c r="A880" s="69">
        <v>45216</v>
      </c>
      <c r="B880" s="54">
        <v>2290.75</v>
      </c>
      <c r="C880" s="54">
        <v>19811.5</v>
      </c>
      <c r="D880" s="54">
        <f t="shared" si="39"/>
        <v>-1.5640614045419884E-2</v>
      </c>
      <c r="E880" s="54">
        <f t="shared" si="40"/>
        <v>-7.112023615253143E-3</v>
      </c>
      <c r="F880" s="55">
        <f t="shared" si="41"/>
        <v>2023</v>
      </c>
    </row>
    <row r="881" spans="1:6" x14ac:dyDescent="0.35">
      <c r="A881" s="69">
        <v>45217</v>
      </c>
      <c r="B881" s="54">
        <v>2255.1999999999998</v>
      </c>
      <c r="C881" s="54">
        <v>19671.099999999999</v>
      </c>
      <c r="D881" s="54">
        <f t="shared" si="39"/>
        <v>2.4358390218713064E-3</v>
      </c>
      <c r="E881" s="54">
        <f t="shared" si="40"/>
        <v>-2.3615766348855094E-3</v>
      </c>
      <c r="F881" s="55">
        <f t="shared" si="41"/>
        <v>2023</v>
      </c>
    </row>
    <row r="882" spans="1:6" x14ac:dyDescent="0.35">
      <c r="A882" s="69">
        <v>45218</v>
      </c>
      <c r="B882" s="54">
        <v>2260.6999999999998</v>
      </c>
      <c r="C882" s="54">
        <v>19624.7</v>
      </c>
      <c r="D882" s="54">
        <f t="shared" si="39"/>
        <v>-4.1062546297419789E-2</v>
      </c>
      <c r="E882" s="54">
        <f t="shared" si="40"/>
        <v>-4.1897202656687891E-3</v>
      </c>
      <c r="F882" s="55">
        <f t="shared" si="41"/>
        <v>2023</v>
      </c>
    </row>
    <row r="883" spans="1:6" x14ac:dyDescent="0.35">
      <c r="A883" s="69">
        <v>45219</v>
      </c>
      <c r="B883" s="54">
        <v>2169.75</v>
      </c>
      <c r="C883" s="54">
        <v>19542.650000000001</v>
      </c>
      <c r="D883" s="54">
        <f t="shared" si="39"/>
        <v>-2.2653559102458986E-2</v>
      </c>
      <c r="E883" s="54">
        <f t="shared" si="40"/>
        <v>-1.3440203963636189E-2</v>
      </c>
      <c r="F883" s="55">
        <f t="shared" si="41"/>
        <v>2023</v>
      </c>
    </row>
    <row r="884" spans="1:6" x14ac:dyDescent="0.35">
      <c r="A884" s="69">
        <v>45222</v>
      </c>
      <c r="B884" s="54">
        <v>2121.15</v>
      </c>
      <c r="C884" s="54">
        <v>19281.75</v>
      </c>
      <c r="D884" s="54">
        <f t="shared" si="39"/>
        <v>3.036189446267273E-3</v>
      </c>
      <c r="E884" s="54">
        <f t="shared" si="40"/>
        <v>-8.3117036978903082E-3</v>
      </c>
      <c r="F884" s="55">
        <f t="shared" si="41"/>
        <v>2023</v>
      </c>
    </row>
    <row r="885" spans="1:6" x14ac:dyDescent="0.35">
      <c r="A885" s="69">
        <v>45224</v>
      </c>
      <c r="B885" s="54">
        <v>2127.6</v>
      </c>
      <c r="C885" s="54">
        <v>19122.150000000001</v>
      </c>
      <c r="D885" s="54">
        <f t="shared" si="39"/>
        <v>-1.0512859789287484E-2</v>
      </c>
      <c r="E885" s="54">
        <f t="shared" si="40"/>
        <v>-1.3949893667133624E-2</v>
      </c>
      <c r="F885" s="55">
        <f t="shared" si="41"/>
        <v>2023</v>
      </c>
    </row>
    <row r="886" spans="1:6" x14ac:dyDescent="0.35">
      <c r="A886" s="69">
        <v>45225</v>
      </c>
      <c r="B886" s="54">
        <v>2105.35</v>
      </c>
      <c r="C886" s="54">
        <v>18857.25</v>
      </c>
      <c r="D886" s="54">
        <f t="shared" si="39"/>
        <v>4.242064351948298E-3</v>
      </c>
      <c r="E886" s="54">
        <f t="shared" si="40"/>
        <v>1.0025278863763394E-2</v>
      </c>
      <c r="F886" s="55">
        <f t="shared" si="41"/>
        <v>2023</v>
      </c>
    </row>
    <row r="887" spans="1:6" x14ac:dyDescent="0.35">
      <c r="A887" s="69">
        <v>45226</v>
      </c>
      <c r="B887" s="54">
        <v>2114.3000000000002</v>
      </c>
      <c r="C887" s="54">
        <v>19047.25</v>
      </c>
      <c r="D887" s="54">
        <f t="shared" si="39"/>
        <v>1.4392453636301327E-2</v>
      </c>
      <c r="E887" s="54">
        <f t="shared" si="40"/>
        <v>4.9046726660236838E-3</v>
      </c>
      <c r="F887" s="55">
        <f t="shared" si="41"/>
        <v>2023</v>
      </c>
    </row>
    <row r="888" spans="1:6" x14ac:dyDescent="0.35">
      <c r="A888" s="69">
        <v>45229</v>
      </c>
      <c r="B888" s="54">
        <v>2144.9499999999998</v>
      </c>
      <c r="C888" s="54">
        <v>19140.900000000001</v>
      </c>
      <c r="D888" s="54">
        <f t="shared" si="39"/>
        <v>-1.0097664487651661E-2</v>
      </c>
      <c r="E888" s="54">
        <f t="shared" si="40"/>
        <v>-3.207705423086861E-3</v>
      </c>
      <c r="F888" s="55">
        <f t="shared" si="41"/>
        <v>2023</v>
      </c>
    </row>
    <row r="889" spans="1:6" x14ac:dyDescent="0.35">
      <c r="A889" s="69">
        <v>45230</v>
      </c>
      <c r="B889" s="54">
        <v>2123.4</v>
      </c>
      <c r="C889" s="54">
        <v>19079.599999999999</v>
      </c>
      <c r="D889" s="54">
        <f t="shared" si="39"/>
        <v>8.7914199875791955E-3</v>
      </c>
      <c r="E889" s="54">
        <f t="shared" si="40"/>
        <v>-4.7519380175908114E-3</v>
      </c>
      <c r="F889" s="55">
        <f t="shared" si="41"/>
        <v>2023</v>
      </c>
    </row>
    <row r="890" spans="1:6" x14ac:dyDescent="0.35">
      <c r="A890" s="69">
        <v>45231</v>
      </c>
      <c r="B890" s="54">
        <v>2142.15</v>
      </c>
      <c r="C890" s="54">
        <v>18989.150000000001</v>
      </c>
      <c r="D890" s="54">
        <f t="shared" si="39"/>
        <v>2.1040766056809011E-2</v>
      </c>
      <c r="E890" s="54">
        <f t="shared" si="40"/>
        <v>7.5598958250219696E-3</v>
      </c>
      <c r="F890" s="55">
        <f t="shared" si="41"/>
        <v>2023</v>
      </c>
    </row>
    <row r="891" spans="1:6" x14ac:dyDescent="0.35">
      <c r="A891" s="69">
        <v>45232</v>
      </c>
      <c r="B891" s="54">
        <v>2187.6999999999998</v>
      </c>
      <c r="C891" s="54">
        <v>19133.25</v>
      </c>
      <c r="D891" s="54">
        <f t="shared" si="39"/>
        <v>1.0232245530820777E-2</v>
      </c>
      <c r="E891" s="54">
        <f t="shared" si="40"/>
        <v>5.0751011147600316E-3</v>
      </c>
      <c r="F891" s="55">
        <f t="shared" si="41"/>
        <v>2023</v>
      </c>
    </row>
    <row r="892" spans="1:6" x14ac:dyDescent="0.35">
      <c r="A892" s="69">
        <v>45233</v>
      </c>
      <c r="B892" s="54">
        <v>2210.1999999999998</v>
      </c>
      <c r="C892" s="54">
        <v>19230.599999999999</v>
      </c>
      <c r="D892" s="54">
        <f t="shared" si="39"/>
        <v>-8.4055107670085831E-3</v>
      </c>
      <c r="E892" s="54">
        <f t="shared" si="40"/>
        <v>9.3757924662759996E-3</v>
      </c>
      <c r="F892" s="55">
        <f t="shared" si="41"/>
        <v>2023</v>
      </c>
    </row>
    <row r="893" spans="1:6" x14ac:dyDescent="0.35">
      <c r="A893" s="69">
        <v>45236</v>
      </c>
      <c r="B893" s="54">
        <v>2191.6999999999998</v>
      </c>
      <c r="C893" s="54">
        <v>19411.75</v>
      </c>
      <c r="D893" s="54">
        <f t="shared" si="39"/>
        <v>4.8247703971722239E-3</v>
      </c>
      <c r="E893" s="54">
        <f t="shared" si="40"/>
        <v>-2.6018555756290862E-4</v>
      </c>
      <c r="F893" s="55">
        <f t="shared" si="41"/>
        <v>2023</v>
      </c>
    </row>
    <row r="894" spans="1:6" x14ac:dyDescent="0.35">
      <c r="A894" s="69">
        <v>45237</v>
      </c>
      <c r="B894" s="54">
        <v>2202.3000000000002</v>
      </c>
      <c r="C894" s="54">
        <v>19406.7</v>
      </c>
      <c r="D894" s="54">
        <f t="shared" si="39"/>
        <v>-9.1687265638472071E-3</v>
      </c>
      <c r="E894" s="54">
        <f t="shared" si="40"/>
        <v>1.8944567083908723E-3</v>
      </c>
      <c r="F894" s="55">
        <f t="shared" si="41"/>
        <v>2023</v>
      </c>
    </row>
    <row r="895" spans="1:6" x14ac:dyDescent="0.35">
      <c r="A895" s="69">
        <v>45238</v>
      </c>
      <c r="B895" s="54">
        <v>2182.1999999999998</v>
      </c>
      <c r="C895" s="54">
        <v>19443.5</v>
      </c>
      <c r="D895" s="54">
        <f t="shared" si="39"/>
        <v>5.2332809086094679E-3</v>
      </c>
      <c r="E895" s="54">
        <f t="shared" si="40"/>
        <v>-2.4820553026905696E-3</v>
      </c>
      <c r="F895" s="55">
        <f t="shared" si="41"/>
        <v>2023</v>
      </c>
    </row>
    <row r="896" spans="1:6" x14ac:dyDescent="0.35">
      <c r="A896" s="69">
        <v>45239</v>
      </c>
      <c r="B896" s="54">
        <v>2193.65</v>
      </c>
      <c r="C896" s="54">
        <v>19395.3</v>
      </c>
      <c r="D896" s="54">
        <f t="shared" si="39"/>
        <v>3.8900375498828093E-3</v>
      </c>
      <c r="E896" s="54">
        <f t="shared" si="40"/>
        <v>1.548145433003843E-3</v>
      </c>
      <c r="F896" s="55">
        <f t="shared" si="41"/>
        <v>2023</v>
      </c>
    </row>
    <row r="897" spans="1:6" x14ac:dyDescent="0.35">
      <c r="A897" s="69">
        <v>45240</v>
      </c>
      <c r="B897" s="54">
        <v>2202.1999999999998</v>
      </c>
      <c r="C897" s="54">
        <v>19425.349999999999</v>
      </c>
      <c r="D897" s="54">
        <f t="shared" si="39"/>
        <v>3.0151574060710965E-3</v>
      </c>
      <c r="E897" s="54">
        <f t="shared" si="40"/>
        <v>5.1449502336882525E-3</v>
      </c>
      <c r="F897" s="55">
        <f t="shared" si="41"/>
        <v>2023</v>
      </c>
    </row>
    <row r="898" spans="1:6" x14ac:dyDescent="0.35">
      <c r="A898" s="69">
        <v>45242</v>
      </c>
      <c r="B898" s="54">
        <v>2208.85</v>
      </c>
      <c r="C898" s="54">
        <v>19525.55</v>
      </c>
      <c r="D898" s="54">
        <f t="shared" ref="D898:D961" si="42">LN(B899/B898)</f>
        <v>-2.635322508765672E-2</v>
      </c>
      <c r="E898" s="54">
        <f t="shared" ref="E898:E961" si="43">LN(C899/C898)</f>
        <v>-4.2084688138326878E-3</v>
      </c>
      <c r="F898" s="55">
        <f t="shared" ref="F898:F961" si="44">YEAR(A898)</f>
        <v>2023</v>
      </c>
    </row>
    <row r="899" spans="1:6" x14ac:dyDescent="0.35">
      <c r="A899" s="69">
        <v>45243</v>
      </c>
      <c r="B899" s="54">
        <v>2151.4</v>
      </c>
      <c r="C899" s="54">
        <v>19443.55</v>
      </c>
      <c r="D899" s="54">
        <f t="shared" si="42"/>
        <v>5.3242448678412969E-2</v>
      </c>
      <c r="E899" s="54">
        <f t="shared" si="43"/>
        <v>1.185627017720115E-2</v>
      </c>
      <c r="F899" s="55">
        <f t="shared" si="44"/>
        <v>2023</v>
      </c>
    </row>
    <row r="900" spans="1:6" x14ac:dyDescent="0.35">
      <c r="A900" s="69">
        <v>45245</v>
      </c>
      <c r="B900" s="54">
        <v>2269.0500000000002</v>
      </c>
      <c r="C900" s="54">
        <v>19675.45</v>
      </c>
      <c r="D900" s="54">
        <f t="shared" si="42"/>
        <v>4.1649311351797946E-2</v>
      </c>
      <c r="E900" s="54">
        <f t="shared" si="43"/>
        <v>4.5511498880301303E-3</v>
      </c>
      <c r="F900" s="55">
        <f t="shared" si="44"/>
        <v>2023</v>
      </c>
    </row>
    <row r="901" spans="1:6" x14ac:dyDescent="0.35">
      <c r="A901" s="69">
        <v>45246</v>
      </c>
      <c r="B901" s="54">
        <v>2365.5500000000002</v>
      </c>
      <c r="C901" s="54">
        <v>19765.2</v>
      </c>
      <c r="D901" s="54">
        <f t="shared" si="42"/>
        <v>-1.7118485793608081E-2</v>
      </c>
      <c r="E901" s="54">
        <f t="shared" si="43"/>
        <v>-1.6912680943572324E-3</v>
      </c>
      <c r="F901" s="55">
        <f t="shared" si="44"/>
        <v>2023</v>
      </c>
    </row>
    <row r="902" spans="1:6" x14ac:dyDescent="0.35">
      <c r="A902" s="69">
        <v>45247</v>
      </c>
      <c r="B902" s="54">
        <v>2325.4</v>
      </c>
      <c r="C902" s="54">
        <v>19731.8</v>
      </c>
      <c r="D902" s="54">
        <f t="shared" si="42"/>
        <v>1.0289190958272781E-2</v>
      </c>
      <c r="E902" s="54">
        <f t="shared" si="43"/>
        <v>-1.9175266745258626E-3</v>
      </c>
      <c r="F902" s="55">
        <f t="shared" si="44"/>
        <v>2023</v>
      </c>
    </row>
    <row r="903" spans="1:6" x14ac:dyDescent="0.35">
      <c r="A903" s="69">
        <v>45250</v>
      </c>
      <c r="B903" s="54">
        <v>2349.4499999999998</v>
      </c>
      <c r="C903" s="54">
        <v>19694</v>
      </c>
      <c r="D903" s="54">
        <f t="shared" si="42"/>
        <v>-5.698385941730659E-3</v>
      </c>
      <c r="E903" s="54">
        <f t="shared" si="43"/>
        <v>4.5291813962118265E-3</v>
      </c>
      <c r="F903" s="55">
        <f t="shared" si="44"/>
        <v>2023</v>
      </c>
    </row>
    <row r="904" spans="1:6" x14ac:dyDescent="0.35">
      <c r="A904" s="69">
        <v>45251</v>
      </c>
      <c r="B904" s="54">
        <v>2336.1</v>
      </c>
      <c r="C904" s="54">
        <v>19783.400000000001</v>
      </c>
      <c r="D904" s="54">
        <f t="shared" si="42"/>
        <v>6.7618990381008281E-3</v>
      </c>
      <c r="E904" s="54">
        <f t="shared" si="43"/>
        <v>1.4370413065190699E-3</v>
      </c>
      <c r="F904" s="55">
        <f t="shared" si="44"/>
        <v>2023</v>
      </c>
    </row>
    <row r="905" spans="1:6" x14ac:dyDescent="0.35">
      <c r="A905" s="69">
        <v>45252</v>
      </c>
      <c r="B905" s="54">
        <v>2351.9499999999998</v>
      </c>
      <c r="C905" s="54">
        <v>19811.849999999999</v>
      </c>
      <c r="D905" s="54">
        <f t="shared" si="42"/>
        <v>1.7005718213727712E-4</v>
      </c>
      <c r="E905" s="54">
        <f t="shared" si="43"/>
        <v>-4.9730082801831082E-4</v>
      </c>
      <c r="F905" s="55">
        <f t="shared" si="44"/>
        <v>2023</v>
      </c>
    </row>
    <row r="906" spans="1:6" x14ac:dyDescent="0.35">
      <c r="A906" s="69">
        <v>45253</v>
      </c>
      <c r="B906" s="54">
        <v>2352.35</v>
      </c>
      <c r="C906" s="54">
        <v>19802</v>
      </c>
      <c r="D906" s="54">
        <f t="shared" si="42"/>
        <v>-1.4106296948685202E-2</v>
      </c>
      <c r="E906" s="54">
        <f t="shared" si="43"/>
        <v>-3.6871759933041186E-4</v>
      </c>
      <c r="F906" s="55">
        <f t="shared" si="44"/>
        <v>2023</v>
      </c>
    </row>
    <row r="907" spans="1:6" x14ac:dyDescent="0.35">
      <c r="A907" s="69">
        <v>45254</v>
      </c>
      <c r="B907" s="54">
        <v>2319.4</v>
      </c>
      <c r="C907" s="54">
        <v>19794.7</v>
      </c>
      <c r="D907" s="54">
        <f t="shared" si="42"/>
        <v>-8.4863689080383834E-3</v>
      </c>
      <c r="E907" s="54">
        <f t="shared" si="43"/>
        <v>4.7877846948800578E-3</v>
      </c>
      <c r="F907" s="55">
        <f t="shared" si="44"/>
        <v>2023</v>
      </c>
    </row>
    <row r="908" spans="1:6" x14ac:dyDescent="0.35">
      <c r="A908" s="69">
        <v>45258</v>
      </c>
      <c r="B908" s="54">
        <v>2299.8000000000002</v>
      </c>
      <c r="C908" s="54">
        <v>19889.7</v>
      </c>
      <c r="D908" s="54">
        <f t="shared" si="42"/>
        <v>1.9399271335049373E-2</v>
      </c>
      <c r="E908" s="54">
        <f t="shared" si="43"/>
        <v>1.0348636732111694E-2</v>
      </c>
      <c r="F908" s="55">
        <f t="shared" si="44"/>
        <v>2023</v>
      </c>
    </row>
    <row r="909" spans="1:6" x14ac:dyDescent="0.35">
      <c r="A909" s="69">
        <v>45259</v>
      </c>
      <c r="B909" s="54">
        <v>2344.85</v>
      </c>
      <c r="C909" s="54">
        <v>20096.599999999999</v>
      </c>
      <c r="D909" s="54">
        <f t="shared" si="42"/>
        <v>4.1706624983270232E-3</v>
      </c>
      <c r="E909" s="54">
        <f t="shared" si="43"/>
        <v>1.8170637429511605E-3</v>
      </c>
      <c r="F909" s="55">
        <f t="shared" si="44"/>
        <v>2023</v>
      </c>
    </row>
    <row r="910" spans="1:6" x14ac:dyDescent="0.35">
      <c r="A910" s="69">
        <v>45260</v>
      </c>
      <c r="B910" s="54">
        <v>2354.65</v>
      </c>
      <c r="C910" s="54">
        <v>20133.150000000001</v>
      </c>
      <c r="D910" s="54">
        <f t="shared" si="42"/>
        <v>8.6895480016092007E-3</v>
      </c>
      <c r="E910" s="54">
        <f t="shared" si="43"/>
        <v>6.6706434446280362E-3</v>
      </c>
      <c r="F910" s="55">
        <f t="shared" si="44"/>
        <v>2023</v>
      </c>
    </row>
    <row r="911" spans="1:6" x14ac:dyDescent="0.35">
      <c r="A911" s="69">
        <v>45261</v>
      </c>
      <c r="B911" s="54">
        <v>2375.1999999999998</v>
      </c>
      <c r="C911" s="54">
        <v>20267.900000000001</v>
      </c>
      <c r="D911" s="54">
        <f t="shared" si="42"/>
        <v>-1.6433164974859937E-3</v>
      </c>
      <c r="E911" s="54">
        <f t="shared" si="43"/>
        <v>2.0457461991232925E-2</v>
      </c>
      <c r="F911" s="55">
        <f t="shared" si="44"/>
        <v>2023</v>
      </c>
    </row>
    <row r="912" spans="1:6" x14ac:dyDescent="0.35">
      <c r="A912" s="69">
        <v>45264</v>
      </c>
      <c r="B912" s="54">
        <v>2371.3000000000002</v>
      </c>
      <c r="C912" s="54">
        <v>20686.8</v>
      </c>
      <c r="D912" s="54">
        <f t="shared" si="42"/>
        <v>-1.1622119281255668E-2</v>
      </c>
      <c r="E912" s="54">
        <f t="shared" si="43"/>
        <v>8.1027069438026102E-3</v>
      </c>
      <c r="F912" s="55">
        <f t="shared" si="44"/>
        <v>2023</v>
      </c>
    </row>
    <row r="913" spans="1:6" x14ac:dyDescent="0.35">
      <c r="A913" s="69">
        <v>45265</v>
      </c>
      <c r="B913" s="54">
        <v>2343.9</v>
      </c>
      <c r="C913" s="54">
        <v>20855.099999999999</v>
      </c>
      <c r="D913" s="54">
        <f t="shared" si="42"/>
        <v>1.7110341819130095E-2</v>
      </c>
      <c r="E913" s="54">
        <f t="shared" si="43"/>
        <v>3.9528391278700111E-3</v>
      </c>
      <c r="F913" s="55">
        <f t="shared" si="44"/>
        <v>2023</v>
      </c>
    </row>
    <row r="914" spans="1:6" x14ac:dyDescent="0.35">
      <c r="A914" s="69">
        <v>45266</v>
      </c>
      <c r="B914" s="54">
        <v>2384.35</v>
      </c>
      <c r="C914" s="54">
        <v>20937.7</v>
      </c>
      <c r="D914" s="54">
        <f t="shared" si="42"/>
        <v>4.9784648699159103E-3</v>
      </c>
      <c r="E914" s="54">
        <f t="shared" si="43"/>
        <v>-1.7471803980189876E-3</v>
      </c>
      <c r="F914" s="55">
        <f t="shared" si="44"/>
        <v>2023</v>
      </c>
    </row>
    <row r="915" spans="1:6" x14ac:dyDescent="0.35">
      <c r="A915" s="69">
        <v>45267</v>
      </c>
      <c r="B915" s="54">
        <v>2396.25</v>
      </c>
      <c r="C915" s="54">
        <v>20901.150000000001</v>
      </c>
      <c r="D915" s="54">
        <f t="shared" si="42"/>
        <v>1.2771512720256867E-2</v>
      </c>
      <c r="E915" s="54">
        <f t="shared" si="43"/>
        <v>3.2600508207486305E-3</v>
      </c>
      <c r="F915" s="55">
        <f t="shared" si="44"/>
        <v>2023</v>
      </c>
    </row>
    <row r="916" spans="1:6" x14ac:dyDescent="0.35">
      <c r="A916" s="69">
        <v>45268</v>
      </c>
      <c r="B916" s="54">
        <v>2427.0500000000002</v>
      </c>
      <c r="C916" s="54">
        <v>20969.400000000001</v>
      </c>
      <c r="D916" s="54">
        <f t="shared" si="42"/>
        <v>2.5307353664390372E-3</v>
      </c>
      <c r="E916" s="54">
        <f t="shared" si="43"/>
        <v>1.3201007481038823E-3</v>
      </c>
      <c r="F916" s="55">
        <f t="shared" si="44"/>
        <v>2023</v>
      </c>
    </row>
    <row r="917" spans="1:6" x14ac:dyDescent="0.35">
      <c r="A917" s="69">
        <v>45271</v>
      </c>
      <c r="B917" s="54">
        <v>2433.1999999999998</v>
      </c>
      <c r="C917" s="54">
        <v>20997.1</v>
      </c>
      <c r="D917" s="54">
        <f t="shared" si="42"/>
        <v>-4.1098986915763771E-5</v>
      </c>
      <c r="E917" s="54">
        <f t="shared" si="43"/>
        <v>-4.3290007586474161E-3</v>
      </c>
      <c r="F917" s="55">
        <f t="shared" si="44"/>
        <v>2023</v>
      </c>
    </row>
    <row r="918" spans="1:6" x14ac:dyDescent="0.35">
      <c r="A918" s="69">
        <v>45272</v>
      </c>
      <c r="B918" s="54">
        <v>2433.1</v>
      </c>
      <c r="C918" s="54">
        <v>20906.400000000001</v>
      </c>
      <c r="D918" s="54">
        <f t="shared" si="42"/>
        <v>-3.0666347675719517E-3</v>
      </c>
      <c r="E918" s="54">
        <f t="shared" si="43"/>
        <v>9.5379823284038147E-4</v>
      </c>
      <c r="F918" s="55">
        <f t="shared" si="44"/>
        <v>2023</v>
      </c>
    </row>
    <row r="919" spans="1:6" x14ac:dyDescent="0.35">
      <c r="A919" s="69">
        <v>45273</v>
      </c>
      <c r="B919" s="54">
        <v>2425.65</v>
      </c>
      <c r="C919" s="54">
        <v>20926.349999999999</v>
      </c>
      <c r="D919" s="54">
        <f t="shared" si="42"/>
        <v>6.9796456756588937E-2</v>
      </c>
      <c r="E919" s="54">
        <f t="shared" si="43"/>
        <v>1.2175680378580502E-2</v>
      </c>
      <c r="F919" s="55">
        <f t="shared" si="44"/>
        <v>2023</v>
      </c>
    </row>
    <row r="920" spans="1:6" x14ac:dyDescent="0.35">
      <c r="A920" s="69">
        <v>45274</v>
      </c>
      <c r="B920" s="54">
        <v>2601</v>
      </c>
      <c r="C920" s="54">
        <v>21182.7</v>
      </c>
      <c r="D920" s="54">
        <f t="shared" si="42"/>
        <v>2.2016516963810358E-2</v>
      </c>
      <c r="E920" s="54">
        <f t="shared" si="43"/>
        <v>1.2849809834677589E-2</v>
      </c>
      <c r="F920" s="55">
        <f t="shared" si="44"/>
        <v>2023</v>
      </c>
    </row>
    <row r="921" spans="1:6" x14ac:dyDescent="0.35">
      <c r="A921" s="69">
        <v>45275</v>
      </c>
      <c r="B921" s="54">
        <v>2658.9</v>
      </c>
      <c r="C921" s="54">
        <v>21456.65</v>
      </c>
      <c r="D921" s="54">
        <f t="shared" si="42"/>
        <v>7.9229476348239951E-3</v>
      </c>
      <c r="E921" s="54">
        <f t="shared" si="43"/>
        <v>-1.7725828134065394E-3</v>
      </c>
      <c r="F921" s="55">
        <f t="shared" si="44"/>
        <v>2023</v>
      </c>
    </row>
    <row r="922" spans="1:6" x14ac:dyDescent="0.35">
      <c r="A922" s="69">
        <v>45278</v>
      </c>
      <c r="B922" s="54">
        <v>2680.05</v>
      </c>
      <c r="C922" s="54">
        <v>21418.65</v>
      </c>
      <c r="D922" s="54">
        <f t="shared" si="42"/>
        <v>-2.054309167538917E-3</v>
      </c>
      <c r="E922" s="54">
        <f t="shared" si="43"/>
        <v>1.6071192528823127E-3</v>
      </c>
      <c r="F922" s="55">
        <f t="shared" si="44"/>
        <v>2023</v>
      </c>
    </row>
    <row r="923" spans="1:6" x14ac:dyDescent="0.35">
      <c r="A923" s="69">
        <v>45279</v>
      </c>
      <c r="B923" s="54">
        <v>2674.55</v>
      </c>
      <c r="C923" s="54">
        <v>21453.1</v>
      </c>
      <c r="D923" s="54">
        <f t="shared" si="42"/>
        <v>-1.9157493232817097E-2</v>
      </c>
      <c r="E923" s="54">
        <f t="shared" si="43"/>
        <v>-1.4222159410509942E-2</v>
      </c>
      <c r="F923" s="55">
        <f t="shared" si="44"/>
        <v>2023</v>
      </c>
    </row>
    <row r="924" spans="1:6" x14ac:dyDescent="0.35">
      <c r="A924" s="69">
        <v>45280</v>
      </c>
      <c r="B924" s="54">
        <v>2623.8</v>
      </c>
      <c r="C924" s="54">
        <v>21150.15</v>
      </c>
      <c r="D924" s="54">
        <f t="shared" si="42"/>
        <v>7.8016397529321836E-3</v>
      </c>
      <c r="E924" s="54">
        <f t="shared" si="43"/>
        <v>4.9475165299410597E-3</v>
      </c>
      <c r="F924" s="55">
        <f t="shared" si="44"/>
        <v>2023</v>
      </c>
    </row>
    <row r="925" spans="1:6" x14ac:dyDescent="0.35">
      <c r="A925" s="69">
        <v>45281</v>
      </c>
      <c r="B925" s="54">
        <v>2644.35</v>
      </c>
      <c r="C925" s="54">
        <v>21255.05</v>
      </c>
      <c r="D925" s="54">
        <f t="shared" si="42"/>
        <v>3.4948519816113591E-2</v>
      </c>
      <c r="E925" s="54">
        <f t="shared" si="43"/>
        <v>4.4291220395791331E-3</v>
      </c>
      <c r="F925" s="55">
        <f t="shared" si="44"/>
        <v>2023</v>
      </c>
    </row>
    <row r="926" spans="1:6" x14ac:dyDescent="0.35">
      <c r="A926" s="69">
        <v>45282</v>
      </c>
      <c r="B926" s="54">
        <v>2738.4</v>
      </c>
      <c r="C926" s="54">
        <v>21349.4</v>
      </c>
      <c r="D926" s="54">
        <f t="shared" si="42"/>
        <v>-8.9318239989684429E-3</v>
      </c>
      <c r="E926" s="54">
        <f t="shared" si="43"/>
        <v>4.2976644029708395E-3</v>
      </c>
      <c r="F926" s="55">
        <f t="shared" si="44"/>
        <v>2023</v>
      </c>
    </row>
    <row r="927" spans="1:6" x14ac:dyDescent="0.35">
      <c r="A927" s="69">
        <v>45286</v>
      </c>
      <c r="B927" s="54">
        <v>2714.05</v>
      </c>
      <c r="C927" s="54">
        <v>21441.35</v>
      </c>
      <c r="D927" s="54">
        <f t="shared" si="42"/>
        <v>9.4064411196499911E-3</v>
      </c>
      <c r="E927" s="54">
        <f t="shared" si="43"/>
        <v>9.903529283836263E-3</v>
      </c>
      <c r="F927" s="55">
        <f t="shared" si="44"/>
        <v>2023</v>
      </c>
    </row>
    <row r="928" spans="1:6" x14ac:dyDescent="0.35">
      <c r="A928" s="69">
        <v>45287</v>
      </c>
      <c r="B928" s="54">
        <v>2739.7</v>
      </c>
      <c r="C928" s="54">
        <v>21654.75</v>
      </c>
      <c r="D928" s="54">
        <f t="shared" si="42"/>
        <v>-4.0780927912286973E-3</v>
      </c>
      <c r="E928" s="54">
        <f t="shared" si="43"/>
        <v>5.7075980144208728E-3</v>
      </c>
      <c r="F928" s="55">
        <f t="shared" si="44"/>
        <v>2023</v>
      </c>
    </row>
    <row r="929" spans="1:6" x14ac:dyDescent="0.35">
      <c r="A929" s="69">
        <v>45288</v>
      </c>
      <c r="B929" s="54">
        <v>2728.55</v>
      </c>
      <c r="C929" s="54">
        <v>21778.7</v>
      </c>
      <c r="D929" s="54">
        <f t="shared" si="42"/>
        <v>4.0963427980730792E-3</v>
      </c>
      <c r="E929" s="54">
        <f t="shared" si="43"/>
        <v>-2.1742086840976452E-3</v>
      </c>
      <c r="F929" s="55">
        <f t="shared" si="44"/>
        <v>2023</v>
      </c>
    </row>
    <row r="930" spans="1:6" x14ac:dyDescent="0.35">
      <c r="A930" s="69">
        <v>45289</v>
      </c>
      <c r="B930" s="54">
        <v>2739.75</v>
      </c>
      <c r="C930" s="54">
        <v>21731.4</v>
      </c>
      <c r="D930" s="54">
        <f t="shared" si="42"/>
        <v>-1.0590513351535406E-3</v>
      </c>
      <c r="E930" s="54">
        <f t="shared" si="43"/>
        <v>4.8305512598190972E-4</v>
      </c>
      <c r="F930" s="55">
        <f t="shared" si="44"/>
        <v>2023</v>
      </c>
    </row>
    <row r="931" spans="1:6" x14ac:dyDescent="0.35">
      <c r="A931" s="69">
        <v>45292</v>
      </c>
      <c r="B931" s="54">
        <v>2736.85</v>
      </c>
      <c r="C931" s="54">
        <v>21741.9</v>
      </c>
      <c r="D931" s="54">
        <f t="shared" si="42"/>
        <v>-2.3475256421366397E-2</v>
      </c>
      <c r="E931" s="54">
        <f t="shared" si="43"/>
        <v>-3.5062939508453059E-3</v>
      </c>
      <c r="F931" s="55">
        <f t="shared" si="44"/>
        <v>2024</v>
      </c>
    </row>
    <row r="932" spans="1:6" x14ac:dyDescent="0.35">
      <c r="A932" s="69">
        <v>45293</v>
      </c>
      <c r="B932" s="54">
        <v>2673.35</v>
      </c>
      <c r="C932" s="54">
        <v>21665.8</v>
      </c>
      <c r="D932" s="54">
        <f t="shared" si="42"/>
        <v>-3.6046971628466304E-2</v>
      </c>
      <c r="E932" s="54">
        <f t="shared" si="43"/>
        <v>-6.8753939803709255E-3</v>
      </c>
      <c r="F932" s="55">
        <f t="shared" si="44"/>
        <v>2024</v>
      </c>
    </row>
    <row r="933" spans="1:6" x14ac:dyDescent="0.35">
      <c r="A933" s="69">
        <v>45294</v>
      </c>
      <c r="B933" s="54">
        <v>2578.6999999999998</v>
      </c>
      <c r="C933" s="54">
        <v>21517.35</v>
      </c>
      <c r="D933" s="54">
        <f t="shared" si="42"/>
        <v>7.7066834348516874E-3</v>
      </c>
      <c r="E933" s="54">
        <f t="shared" si="43"/>
        <v>6.5430177643685588E-3</v>
      </c>
      <c r="F933" s="55">
        <f t="shared" si="44"/>
        <v>2024</v>
      </c>
    </row>
    <row r="934" spans="1:6" x14ac:dyDescent="0.35">
      <c r="A934" s="69">
        <v>45295</v>
      </c>
      <c r="B934" s="54">
        <v>2598.65</v>
      </c>
      <c r="C934" s="54">
        <v>21658.6</v>
      </c>
      <c r="D934" s="54">
        <f t="shared" si="42"/>
        <v>1.485837655723843E-2</v>
      </c>
      <c r="E934" s="54">
        <f t="shared" si="43"/>
        <v>2.4072283779417876E-3</v>
      </c>
      <c r="F934" s="55">
        <f t="shared" si="44"/>
        <v>2024</v>
      </c>
    </row>
    <row r="935" spans="1:6" x14ac:dyDescent="0.35">
      <c r="A935" s="69">
        <v>45296</v>
      </c>
      <c r="B935" s="54">
        <v>2637.55</v>
      </c>
      <c r="C935" s="54">
        <v>21710.799999999999</v>
      </c>
      <c r="D935" s="54">
        <f t="shared" si="42"/>
        <v>-2.2138579419569569E-2</v>
      </c>
      <c r="E935" s="54">
        <f t="shared" si="43"/>
        <v>-9.1524290208980594E-3</v>
      </c>
      <c r="F935" s="55">
        <f t="shared" si="44"/>
        <v>2024</v>
      </c>
    </row>
    <row r="936" spans="1:6" x14ac:dyDescent="0.35">
      <c r="A936" s="69">
        <v>45299</v>
      </c>
      <c r="B936" s="54">
        <v>2579.8000000000002</v>
      </c>
      <c r="C936" s="54">
        <v>21513</v>
      </c>
      <c r="D936" s="54">
        <f t="shared" si="42"/>
        <v>-9.4444118713748436E-3</v>
      </c>
      <c r="E936" s="54">
        <f t="shared" si="43"/>
        <v>1.4794053028200293E-3</v>
      </c>
      <c r="F936" s="55">
        <f t="shared" si="44"/>
        <v>2024</v>
      </c>
    </row>
    <row r="937" spans="1:6" x14ac:dyDescent="0.35">
      <c r="A937" s="69">
        <v>45300</v>
      </c>
      <c r="B937" s="54">
        <v>2555.5500000000002</v>
      </c>
      <c r="C937" s="54">
        <v>21544.85</v>
      </c>
      <c r="D937" s="54">
        <f t="shared" si="42"/>
        <v>1.5053913438346157E-3</v>
      </c>
      <c r="E937" s="54">
        <f t="shared" si="43"/>
        <v>3.4218720221299791E-3</v>
      </c>
      <c r="F937" s="55">
        <f t="shared" si="44"/>
        <v>2024</v>
      </c>
    </row>
    <row r="938" spans="1:6" x14ac:dyDescent="0.35">
      <c r="A938" s="69">
        <v>45301</v>
      </c>
      <c r="B938" s="54">
        <v>2559.4</v>
      </c>
      <c r="C938" s="54">
        <v>21618.7</v>
      </c>
      <c r="D938" s="54">
        <f t="shared" si="42"/>
        <v>7.5513184329695634E-3</v>
      </c>
      <c r="E938" s="54">
        <f t="shared" si="43"/>
        <v>1.3174349370812008E-3</v>
      </c>
      <c r="F938" s="55">
        <f t="shared" si="44"/>
        <v>2024</v>
      </c>
    </row>
    <row r="939" spans="1:6" x14ac:dyDescent="0.35">
      <c r="A939" s="69">
        <v>45302</v>
      </c>
      <c r="B939" s="54">
        <v>2578.8000000000002</v>
      </c>
      <c r="C939" s="54">
        <v>21647.200000000001</v>
      </c>
      <c r="D939" s="54">
        <f t="shared" si="42"/>
        <v>3.8343355197647221E-2</v>
      </c>
      <c r="E939" s="54">
        <f t="shared" si="43"/>
        <v>1.1361631573985989E-2</v>
      </c>
      <c r="F939" s="55">
        <f t="shared" si="44"/>
        <v>2024</v>
      </c>
    </row>
    <row r="940" spans="1:6" x14ac:dyDescent="0.35">
      <c r="A940" s="69">
        <v>45303</v>
      </c>
      <c r="B940" s="54">
        <v>2679.6</v>
      </c>
      <c r="C940" s="54">
        <v>21894.55</v>
      </c>
      <c r="D940" s="54">
        <f t="shared" si="42"/>
        <v>-2.0262876499568035E-2</v>
      </c>
      <c r="E940" s="54">
        <f t="shared" si="43"/>
        <v>9.2244698464408817E-3</v>
      </c>
      <c r="F940" s="55">
        <f t="shared" si="44"/>
        <v>2024</v>
      </c>
    </row>
    <row r="941" spans="1:6" x14ac:dyDescent="0.35">
      <c r="A941" s="69">
        <v>45306</v>
      </c>
      <c r="B941" s="54">
        <v>2625.85</v>
      </c>
      <c r="C941" s="54">
        <v>22097.45</v>
      </c>
      <c r="D941" s="54">
        <f t="shared" si="42"/>
        <v>-8.5479595315906907E-3</v>
      </c>
      <c r="E941" s="54">
        <f t="shared" si="43"/>
        <v>-2.9526587996769691E-3</v>
      </c>
      <c r="F941" s="55">
        <f t="shared" si="44"/>
        <v>2024</v>
      </c>
    </row>
    <row r="942" spans="1:6" x14ac:dyDescent="0.35">
      <c r="A942" s="69">
        <v>45307</v>
      </c>
      <c r="B942" s="54">
        <v>2603.5</v>
      </c>
      <c r="C942" s="54">
        <v>22032.3</v>
      </c>
      <c r="D942" s="54">
        <f t="shared" si="42"/>
        <v>8.9858170825861793E-3</v>
      </c>
      <c r="E942" s="54">
        <f t="shared" si="43"/>
        <v>-2.1115698798429821E-2</v>
      </c>
      <c r="F942" s="55">
        <f t="shared" si="44"/>
        <v>2024</v>
      </c>
    </row>
    <row r="943" spans="1:6" x14ac:dyDescent="0.35">
      <c r="A943" s="69">
        <v>45308</v>
      </c>
      <c r="B943" s="54">
        <v>2627</v>
      </c>
      <c r="C943" s="54">
        <v>21571.95</v>
      </c>
      <c r="D943" s="54">
        <f t="shared" si="42"/>
        <v>-4.3927624079026402E-2</v>
      </c>
      <c r="E943" s="54">
        <f t="shared" si="43"/>
        <v>-5.0982817207920056E-3</v>
      </c>
      <c r="F943" s="55">
        <f t="shared" si="44"/>
        <v>2024</v>
      </c>
    </row>
    <row r="944" spans="1:6" x14ac:dyDescent="0.35">
      <c r="A944" s="69">
        <v>45309</v>
      </c>
      <c r="B944" s="54">
        <v>2514.1</v>
      </c>
      <c r="C944" s="54">
        <v>21462.25</v>
      </c>
      <c r="D944" s="54">
        <f t="shared" si="42"/>
        <v>1.3805854112724069E-2</v>
      </c>
      <c r="E944" s="54">
        <f t="shared" si="43"/>
        <v>7.4342364436114933E-3</v>
      </c>
      <c r="F944" s="55">
        <f t="shared" si="44"/>
        <v>2024</v>
      </c>
    </row>
    <row r="945" spans="1:6" x14ac:dyDescent="0.35">
      <c r="A945" s="69">
        <v>45310</v>
      </c>
      <c r="B945" s="54">
        <v>2549.0500000000002</v>
      </c>
      <c r="C945" s="54">
        <v>21622.400000000001</v>
      </c>
      <c r="D945" s="54">
        <f t="shared" si="42"/>
        <v>1.4604200679958797E-2</v>
      </c>
      <c r="E945" s="54">
        <f t="shared" si="43"/>
        <v>-2.3429082212985306E-3</v>
      </c>
      <c r="F945" s="55">
        <f t="shared" si="44"/>
        <v>2024</v>
      </c>
    </row>
    <row r="946" spans="1:6" x14ac:dyDescent="0.35">
      <c r="A946" s="69">
        <v>45311</v>
      </c>
      <c r="B946" s="54">
        <v>2586.5500000000002</v>
      </c>
      <c r="C946" s="54">
        <v>21571.8</v>
      </c>
      <c r="D946" s="54">
        <f t="shared" si="42"/>
        <v>-2.0841615756921051E-2</v>
      </c>
      <c r="E946" s="54">
        <f t="shared" si="43"/>
        <v>-1.5557208551848641E-2</v>
      </c>
      <c r="F946" s="55">
        <f t="shared" si="44"/>
        <v>2024</v>
      </c>
    </row>
    <row r="947" spans="1:6" x14ac:dyDescent="0.35">
      <c r="A947" s="69">
        <v>45314</v>
      </c>
      <c r="B947" s="54">
        <v>2533.1999999999998</v>
      </c>
      <c r="C947" s="54">
        <v>21238.799999999999</v>
      </c>
      <c r="D947" s="54">
        <f t="shared" si="42"/>
        <v>1.2767507883548619E-2</v>
      </c>
      <c r="E947" s="54">
        <f t="shared" si="43"/>
        <v>1.0079080002224091E-2</v>
      </c>
      <c r="F947" s="55">
        <f t="shared" si="44"/>
        <v>2024</v>
      </c>
    </row>
    <row r="948" spans="1:6" x14ac:dyDescent="0.35">
      <c r="A948" s="69">
        <v>45315</v>
      </c>
      <c r="B948" s="54">
        <v>2565.75</v>
      </c>
      <c r="C948" s="54">
        <v>21453.95</v>
      </c>
      <c r="D948" s="54">
        <f t="shared" si="42"/>
        <v>-1.7040004294972686E-2</v>
      </c>
      <c r="E948" s="54">
        <f t="shared" si="43"/>
        <v>-4.7352654852423287E-3</v>
      </c>
      <c r="F948" s="55">
        <f t="shared" si="44"/>
        <v>2024</v>
      </c>
    </row>
    <row r="949" spans="1:6" x14ac:dyDescent="0.35">
      <c r="A949" s="69">
        <v>45316</v>
      </c>
      <c r="B949" s="54">
        <v>2522.4</v>
      </c>
      <c r="C949" s="54">
        <v>21352.6</v>
      </c>
      <c r="D949" s="54">
        <f t="shared" si="42"/>
        <v>2.362453410116739E-2</v>
      </c>
      <c r="E949" s="54">
        <f t="shared" si="43"/>
        <v>1.7869967895292525E-2</v>
      </c>
      <c r="F949" s="55">
        <f t="shared" si="44"/>
        <v>2024</v>
      </c>
    </row>
    <row r="950" spans="1:6" x14ac:dyDescent="0.35">
      <c r="A950" s="69">
        <v>45320</v>
      </c>
      <c r="B950" s="54">
        <v>2582.6999999999998</v>
      </c>
      <c r="C950" s="54">
        <v>21737.599999999999</v>
      </c>
      <c r="D950" s="54">
        <f t="shared" si="42"/>
        <v>8.021330270935139E-3</v>
      </c>
      <c r="E950" s="54">
        <f t="shared" si="43"/>
        <v>-9.9631658391133322E-3</v>
      </c>
      <c r="F950" s="55">
        <f t="shared" si="44"/>
        <v>2024</v>
      </c>
    </row>
    <row r="951" spans="1:6" x14ac:dyDescent="0.35">
      <c r="A951" s="69">
        <v>45321</v>
      </c>
      <c r="B951" s="54">
        <v>2603.5</v>
      </c>
      <c r="C951" s="54">
        <v>21522.1</v>
      </c>
      <c r="D951" s="54">
        <f t="shared" si="42"/>
        <v>-1.9223381544572686E-3</v>
      </c>
      <c r="E951" s="54">
        <f t="shared" si="43"/>
        <v>9.415577400253396E-3</v>
      </c>
      <c r="F951" s="55">
        <f t="shared" si="44"/>
        <v>2024</v>
      </c>
    </row>
    <row r="952" spans="1:6" x14ac:dyDescent="0.35">
      <c r="A952" s="69">
        <v>45322</v>
      </c>
      <c r="B952" s="54">
        <v>2598.5</v>
      </c>
      <c r="C952" s="54">
        <v>21725.7</v>
      </c>
      <c r="D952" s="54">
        <f t="shared" si="42"/>
        <v>6.3478020463192777E-4</v>
      </c>
      <c r="E952" s="54">
        <f t="shared" si="43"/>
        <v>-1.3011494553287434E-3</v>
      </c>
      <c r="F952" s="55">
        <f t="shared" si="44"/>
        <v>2024</v>
      </c>
    </row>
    <row r="953" spans="1:6" x14ac:dyDescent="0.35">
      <c r="A953" s="69">
        <v>45323</v>
      </c>
      <c r="B953" s="54">
        <v>2600.15</v>
      </c>
      <c r="C953" s="54">
        <v>21697.45</v>
      </c>
      <c r="D953" s="54">
        <f t="shared" si="42"/>
        <v>-1.5483755231119355E-2</v>
      </c>
      <c r="E953" s="54">
        <f t="shared" si="43"/>
        <v>7.18007734330033E-3</v>
      </c>
      <c r="F953" s="55">
        <f t="shared" si="44"/>
        <v>2024</v>
      </c>
    </row>
    <row r="954" spans="1:6" x14ac:dyDescent="0.35">
      <c r="A954" s="69">
        <v>45324</v>
      </c>
      <c r="B954" s="54">
        <v>2560.1999999999998</v>
      </c>
      <c r="C954" s="54">
        <v>21853.8</v>
      </c>
      <c r="D954" s="54">
        <f t="shared" si="42"/>
        <v>-2.3534682359859567E-2</v>
      </c>
      <c r="E954" s="54">
        <f t="shared" si="43"/>
        <v>-3.7638581528382955E-3</v>
      </c>
      <c r="F954" s="55">
        <f t="shared" si="44"/>
        <v>2024</v>
      </c>
    </row>
    <row r="955" spans="1:6" x14ac:dyDescent="0.35">
      <c r="A955" s="69">
        <v>45327</v>
      </c>
      <c r="B955" s="54">
        <v>2500.65</v>
      </c>
      <c r="C955" s="54">
        <v>21771.7</v>
      </c>
      <c r="D955" s="54">
        <f t="shared" si="42"/>
        <v>3.0715308093462519E-2</v>
      </c>
      <c r="E955" s="54">
        <f t="shared" si="43"/>
        <v>7.2172409632705048E-3</v>
      </c>
      <c r="F955" s="55">
        <f t="shared" si="44"/>
        <v>2024</v>
      </c>
    </row>
    <row r="956" spans="1:6" x14ac:dyDescent="0.35">
      <c r="A956" s="69">
        <v>45328</v>
      </c>
      <c r="B956" s="54">
        <v>2578.65</v>
      </c>
      <c r="C956" s="54">
        <v>21929.4</v>
      </c>
      <c r="D956" s="54">
        <f t="shared" si="42"/>
        <v>4.7585976517908286E-3</v>
      </c>
      <c r="E956" s="54">
        <f t="shared" si="43"/>
        <v>5.0159713096876929E-5</v>
      </c>
      <c r="F956" s="55">
        <f t="shared" si="44"/>
        <v>2024</v>
      </c>
    </row>
    <row r="957" spans="1:6" x14ac:dyDescent="0.35">
      <c r="A957" s="69">
        <v>45329</v>
      </c>
      <c r="B957" s="54">
        <v>2590.9499999999998</v>
      </c>
      <c r="C957" s="54">
        <v>21930.5</v>
      </c>
      <c r="D957" s="54">
        <f t="shared" si="42"/>
        <v>2.5248401659794546E-3</v>
      </c>
      <c r="E957" s="54">
        <f t="shared" si="43"/>
        <v>-9.7392544332029034E-3</v>
      </c>
      <c r="F957" s="55">
        <f t="shared" si="44"/>
        <v>2024</v>
      </c>
    </row>
    <row r="958" spans="1:6" x14ac:dyDescent="0.35">
      <c r="A958" s="69">
        <v>45330</v>
      </c>
      <c r="B958" s="54">
        <v>2597.5</v>
      </c>
      <c r="C958" s="54">
        <v>21717.95</v>
      </c>
      <c r="D958" s="54">
        <f t="shared" si="42"/>
        <v>-3.1618750796607599E-3</v>
      </c>
      <c r="E958" s="54">
        <f t="shared" si="43"/>
        <v>2.9677875690214571E-3</v>
      </c>
      <c r="F958" s="55">
        <f t="shared" si="44"/>
        <v>2024</v>
      </c>
    </row>
    <row r="959" spans="1:6" x14ac:dyDescent="0.35">
      <c r="A959" s="69">
        <v>45331</v>
      </c>
      <c r="B959" s="54">
        <v>2589.3000000000002</v>
      </c>
      <c r="C959" s="54">
        <v>21782.5</v>
      </c>
      <c r="D959" s="54">
        <f t="shared" si="42"/>
        <v>4.5084175549298163E-3</v>
      </c>
      <c r="E959" s="54">
        <f t="shared" si="43"/>
        <v>-7.6708008067306686E-3</v>
      </c>
      <c r="F959" s="55">
        <f t="shared" si="44"/>
        <v>2024</v>
      </c>
    </row>
    <row r="960" spans="1:6" x14ac:dyDescent="0.35">
      <c r="A960" s="69">
        <v>45334</v>
      </c>
      <c r="B960" s="54">
        <v>2601</v>
      </c>
      <c r="C960" s="54">
        <v>21616.05</v>
      </c>
      <c r="D960" s="54">
        <f t="shared" si="42"/>
        <v>1.0536376885970063E-2</v>
      </c>
      <c r="E960" s="54">
        <f t="shared" si="43"/>
        <v>5.8672702236109882E-3</v>
      </c>
      <c r="F960" s="55">
        <f t="shared" si="44"/>
        <v>2024</v>
      </c>
    </row>
    <row r="961" spans="1:6" x14ac:dyDescent="0.35">
      <c r="A961" s="69">
        <v>45335</v>
      </c>
      <c r="B961" s="54">
        <v>2628.55</v>
      </c>
      <c r="C961" s="54">
        <v>21743.25</v>
      </c>
      <c r="D961" s="54">
        <f t="shared" si="42"/>
        <v>-2.6483700327694315E-2</v>
      </c>
      <c r="E961" s="54">
        <f t="shared" si="43"/>
        <v>4.4420757111879932E-3</v>
      </c>
      <c r="F961" s="55">
        <f t="shared" si="44"/>
        <v>2024</v>
      </c>
    </row>
    <row r="962" spans="1:6" x14ac:dyDescent="0.35">
      <c r="A962" s="69">
        <v>45336</v>
      </c>
      <c r="B962" s="54">
        <v>2559.85</v>
      </c>
      <c r="C962" s="54">
        <v>21840.05</v>
      </c>
      <c r="D962" s="54">
        <f t="shared" ref="D962:D1025" si="45">LN(B963/B962)</f>
        <v>5.6483233214343571E-2</v>
      </c>
      <c r="E962" s="54">
        <f t="shared" ref="E962:E1025" si="46">LN(C963/C962)</f>
        <v>3.2319437149108312E-3</v>
      </c>
      <c r="F962" s="55">
        <f t="shared" ref="F962:F1025" si="47">YEAR(A962)</f>
        <v>2024</v>
      </c>
    </row>
    <row r="963" spans="1:6" x14ac:dyDescent="0.35">
      <c r="A963" s="69">
        <v>45337</v>
      </c>
      <c r="B963" s="54">
        <v>2708.6</v>
      </c>
      <c r="C963" s="54">
        <v>21910.75</v>
      </c>
      <c r="D963" s="54">
        <f t="shared" si="45"/>
        <v>3.3883707119608704E-2</v>
      </c>
      <c r="E963" s="54">
        <f t="shared" si="46"/>
        <v>5.9133602496496528E-3</v>
      </c>
      <c r="F963" s="55">
        <f t="shared" si="47"/>
        <v>2024</v>
      </c>
    </row>
    <row r="964" spans="1:6" x14ac:dyDescent="0.35">
      <c r="A964" s="69">
        <v>45338</v>
      </c>
      <c r="B964" s="54">
        <v>2801.95</v>
      </c>
      <c r="C964" s="54">
        <v>22040.7</v>
      </c>
      <c r="D964" s="54">
        <f t="shared" si="45"/>
        <v>-8.0985159443464801E-3</v>
      </c>
      <c r="E964" s="54">
        <f t="shared" si="46"/>
        <v>3.6931451676362253E-3</v>
      </c>
      <c r="F964" s="55">
        <f t="shared" si="47"/>
        <v>2024</v>
      </c>
    </row>
    <row r="965" spans="1:6" x14ac:dyDescent="0.35">
      <c r="A965" s="69">
        <v>45341</v>
      </c>
      <c r="B965" s="54">
        <v>2779.35</v>
      </c>
      <c r="C965" s="54">
        <v>22122.25</v>
      </c>
      <c r="D965" s="54">
        <f t="shared" si="45"/>
        <v>-5.2307034595784471E-3</v>
      </c>
      <c r="E965" s="54">
        <f t="shared" si="46"/>
        <v>3.3710026687649355E-3</v>
      </c>
      <c r="F965" s="55">
        <f t="shared" si="47"/>
        <v>2024</v>
      </c>
    </row>
    <row r="966" spans="1:6" x14ac:dyDescent="0.35">
      <c r="A966" s="69">
        <v>45342</v>
      </c>
      <c r="B966" s="54">
        <v>2764.85</v>
      </c>
      <c r="C966" s="54">
        <v>22196.95</v>
      </c>
      <c r="D966" s="54">
        <f t="shared" si="45"/>
        <v>-4.0786580326770155E-2</v>
      </c>
      <c r="E966" s="54">
        <f t="shared" si="46"/>
        <v>-6.4132914383778911E-3</v>
      </c>
      <c r="F966" s="55">
        <f t="shared" si="47"/>
        <v>2024</v>
      </c>
    </row>
    <row r="967" spans="1:6" x14ac:dyDescent="0.35">
      <c r="A967" s="69">
        <v>45343</v>
      </c>
      <c r="B967" s="54">
        <v>2654.35</v>
      </c>
      <c r="C967" s="54">
        <v>22055.05</v>
      </c>
      <c r="D967" s="54">
        <f t="shared" si="45"/>
        <v>1.6477730464549128E-2</v>
      </c>
      <c r="E967" s="54">
        <f t="shared" si="46"/>
        <v>7.3364155357774361E-3</v>
      </c>
      <c r="F967" s="55">
        <f t="shared" si="47"/>
        <v>2024</v>
      </c>
    </row>
    <row r="968" spans="1:6" x14ac:dyDescent="0.35">
      <c r="A968" s="69">
        <v>45344</v>
      </c>
      <c r="B968" s="54">
        <v>2698.45</v>
      </c>
      <c r="C968" s="54">
        <v>22217.45</v>
      </c>
      <c r="D968" s="54">
        <f t="shared" si="45"/>
        <v>1.074456757176399E-2</v>
      </c>
      <c r="E968" s="54">
        <f t="shared" si="46"/>
        <v>-2.1381877027633613E-4</v>
      </c>
      <c r="F968" s="55">
        <f t="shared" si="47"/>
        <v>2024</v>
      </c>
    </row>
    <row r="969" spans="1:6" x14ac:dyDescent="0.35">
      <c r="A969" s="69">
        <v>45345</v>
      </c>
      <c r="B969" s="54">
        <v>2727.6</v>
      </c>
      <c r="C969" s="54">
        <v>22212.7</v>
      </c>
      <c r="D969" s="54">
        <f t="shared" si="45"/>
        <v>-1.8744014924780599E-2</v>
      </c>
      <c r="E969" s="54">
        <f t="shared" si="46"/>
        <v>-4.0893487084771958E-3</v>
      </c>
      <c r="F969" s="55">
        <f t="shared" si="47"/>
        <v>2024</v>
      </c>
    </row>
    <row r="970" spans="1:6" x14ac:dyDescent="0.35">
      <c r="A970" s="69">
        <v>45348</v>
      </c>
      <c r="B970" s="54">
        <v>2676.95</v>
      </c>
      <c r="C970" s="54">
        <v>22122.05</v>
      </c>
      <c r="D970" s="54">
        <f t="shared" si="45"/>
        <v>4.4541013097085672E-3</v>
      </c>
      <c r="E970" s="54">
        <f t="shared" si="46"/>
        <v>3.4431131207391997E-3</v>
      </c>
      <c r="F970" s="55">
        <f t="shared" si="47"/>
        <v>2024</v>
      </c>
    </row>
    <row r="971" spans="1:6" x14ac:dyDescent="0.35">
      <c r="A971" s="69">
        <v>45349</v>
      </c>
      <c r="B971" s="54">
        <v>2688.9</v>
      </c>
      <c r="C971" s="54">
        <v>22198.35</v>
      </c>
      <c r="D971" s="54">
        <f t="shared" si="45"/>
        <v>-1.3101931824275118E-2</v>
      </c>
      <c r="E971" s="54">
        <f t="shared" si="46"/>
        <v>-1.1198431843397458E-2</v>
      </c>
      <c r="F971" s="55">
        <f t="shared" si="47"/>
        <v>2024</v>
      </c>
    </row>
    <row r="972" spans="1:6" x14ac:dyDescent="0.35">
      <c r="A972" s="69">
        <v>45350</v>
      </c>
      <c r="B972" s="54">
        <v>2653.9</v>
      </c>
      <c r="C972" s="54">
        <v>21951.15</v>
      </c>
      <c r="D972" s="54">
        <f t="shared" si="45"/>
        <v>-1.3867900694801894E-2</v>
      </c>
      <c r="E972" s="54">
        <f t="shared" si="46"/>
        <v>1.4407994489542065E-3</v>
      </c>
      <c r="F972" s="55">
        <f t="shared" si="47"/>
        <v>2024</v>
      </c>
    </row>
    <row r="973" spans="1:6" x14ac:dyDescent="0.35">
      <c r="A973" s="69">
        <v>45351</v>
      </c>
      <c r="B973" s="54">
        <v>2617.35</v>
      </c>
      <c r="C973" s="54">
        <v>21982.799999999999</v>
      </c>
      <c r="D973" s="54">
        <f t="shared" si="45"/>
        <v>-3.8207312884332242E-5</v>
      </c>
      <c r="E973" s="54">
        <f t="shared" si="46"/>
        <v>1.6062509231593233E-2</v>
      </c>
      <c r="F973" s="55">
        <f t="shared" si="47"/>
        <v>2024</v>
      </c>
    </row>
    <row r="974" spans="1:6" x14ac:dyDescent="0.35">
      <c r="A974" s="69">
        <v>45352</v>
      </c>
      <c r="B974" s="54">
        <v>2617.25</v>
      </c>
      <c r="C974" s="54">
        <v>22338.75</v>
      </c>
      <c r="D974" s="54">
        <f t="shared" si="45"/>
        <v>1.0546917092935397E-2</v>
      </c>
      <c r="E974" s="54">
        <f t="shared" si="46"/>
        <v>1.7733692952736234E-3</v>
      </c>
      <c r="F974" s="55">
        <f t="shared" si="47"/>
        <v>2024</v>
      </c>
    </row>
    <row r="975" spans="1:6" x14ac:dyDescent="0.35">
      <c r="A975" s="69">
        <v>45353</v>
      </c>
      <c r="B975" s="54">
        <v>2645</v>
      </c>
      <c r="C975" s="54">
        <v>22378.400000000001</v>
      </c>
      <c r="D975" s="54">
        <f t="shared" si="45"/>
        <v>-1.6928877675180292E-2</v>
      </c>
      <c r="E975" s="54">
        <f t="shared" si="46"/>
        <v>1.2147196920581206E-3</v>
      </c>
      <c r="F975" s="55">
        <f t="shared" si="47"/>
        <v>2024</v>
      </c>
    </row>
    <row r="976" spans="1:6" x14ac:dyDescent="0.35">
      <c r="A976" s="69">
        <v>45355</v>
      </c>
      <c r="B976" s="54">
        <v>2600.6</v>
      </c>
      <c r="C976" s="54">
        <v>22405.599999999999</v>
      </c>
      <c r="D976" s="54">
        <f t="shared" si="45"/>
        <v>-2.1925928895109015E-2</v>
      </c>
      <c r="E976" s="54">
        <f t="shared" si="46"/>
        <v>-2.202767082468908E-3</v>
      </c>
      <c r="F976" s="55">
        <f t="shared" si="47"/>
        <v>2024</v>
      </c>
    </row>
    <row r="977" spans="1:6" x14ac:dyDescent="0.35">
      <c r="A977" s="69">
        <v>45356</v>
      </c>
      <c r="B977" s="54">
        <v>2544.1999999999998</v>
      </c>
      <c r="C977" s="54">
        <v>22356.3</v>
      </c>
      <c r="D977" s="54">
        <f t="shared" si="45"/>
        <v>-8.2883215133365828E-3</v>
      </c>
      <c r="E977" s="54">
        <f t="shared" si="46"/>
        <v>5.2531497425974778E-3</v>
      </c>
      <c r="F977" s="55">
        <f t="shared" si="47"/>
        <v>2024</v>
      </c>
    </row>
    <row r="978" spans="1:6" x14ac:dyDescent="0.35">
      <c r="A978" s="69">
        <v>45357</v>
      </c>
      <c r="B978" s="54">
        <v>2523.1999999999998</v>
      </c>
      <c r="C978" s="54">
        <v>22474.05</v>
      </c>
      <c r="D978" s="54">
        <f t="shared" si="45"/>
        <v>-1.210130296713195E-2</v>
      </c>
      <c r="E978" s="54">
        <f t="shared" si="46"/>
        <v>8.6729117063467345E-4</v>
      </c>
      <c r="F978" s="55">
        <f t="shared" si="47"/>
        <v>2024</v>
      </c>
    </row>
    <row r="979" spans="1:6" x14ac:dyDescent="0.35">
      <c r="A979" s="69">
        <v>45358</v>
      </c>
      <c r="B979" s="54">
        <v>2492.85</v>
      </c>
      <c r="C979" s="54">
        <v>22493.55</v>
      </c>
      <c r="D979" s="54">
        <f t="shared" si="45"/>
        <v>-9.3299484860558963E-3</v>
      </c>
      <c r="E979" s="54">
        <f t="shared" si="46"/>
        <v>-7.1788682071318097E-3</v>
      </c>
      <c r="F979" s="55">
        <f t="shared" si="47"/>
        <v>2024</v>
      </c>
    </row>
    <row r="980" spans="1:6" x14ac:dyDescent="0.35">
      <c r="A980" s="69">
        <v>45362</v>
      </c>
      <c r="B980" s="54">
        <v>2469.6999999999998</v>
      </c>
      <c r="C980" s="54">
        <v>22332.65</v>
      </c>
      <c r="D980" s="54">
        <f t="shared" si="45"/>
        <v>-1.7708615253607375E-2</v>
      </c>
      <c r="E980" s="54">
        <f t="shared" si="46"/>
        <v>1.3656201783766265E-4</v>
      </c>
      <c r="F980" s="55">
        <f t="shared" si="47"/>
        <v>2024</v>
      </c>
    </row>
    <row r="981" spans="1:6" x14ac:dyDescent="0.35">
      <c r="A981" s="69">
        <v>45363</v>
      </c>
      <c r="B981" s="54">
        <v>2426.35</v>
      </c>
      <c r="C981" s="54">
        <v>22335.7</v>
      </c>
      <c r="D981" s="54">
        <f t="shared" si="45"/>
        <v>-2.1264325220930847E-2</v>
      </c>
      <c r="E981" s="54">
        <f t="shared" si="46"/>
        <v>-1.524839281915699E-2</v>
      </c>
      <c r="F981" s="55">
        <f t="shared" si="47"/>
        <v>2024</v>
      </c>
    </row>
    <row r="982" spans="1:6" x14ac:dyDescent="0.35">
      <c r="A982" s="69">
        <v>45364</v>
      </c>
      <c r="B982" s="54">
        <v>2375.3000000000002</v>
      </c>
      <c r="C982" s="54">
        <v>21997.7</v>
      </c>
      <c r="D982" s="54">
        <f t="shared" si="45"/>
        <v>4.4162512422361383E-2</v>
      </c>
      <c r="E982" s="54">
        <f t="shared" si="46"/>
        <v>6.7483410794881684E-3</v>
      </c>
      <c r="F982" s="55">
        <f t="shared" si="47"/>
        <v>2024</v>
      </c>
    </row>
    <row r="983" spans="1:6" x14ac:dyDescent="0.35">
      <c r="A983" s="69">
        <v>45365</v>
      </c>
      <c r="B983" s="54">
        <v>2482.5500000000002</v>
      </c>
      <c r="C983" s="54">
        <v>22146.65</v>
      </c>
      <c r="D983" s="54">
        <f t="shared" si="45"/>
        <v>2.132625949115004E-3</v>
      </c>
      <c r="E983" s="54">
        <f t="shared" si="46"/>
        <v>-5.5829893714841473E-3</v>
      </c>
      <c r="F983" s="55">
        <f t="shared" si="47"/>
        <v>2024</v>
      </c>
    </row>
    <row r="984" spans="1:6" x14ac:dyDescent="0.35">
      <c r="A984" s="69">
        <v>45366</v>
      </c>
      <c r="B984" s="54">
        <v>2487.85</v>
      </c>
      <c r="C984" s="54">
        <v>22023.35</v>
      </c>
      <c r="D984" s="54">
        <f t="shared" si="45"/>
        <v>-1.0505783840554931E-2</v>
      </c>
      <c r="E984" s="54">
        <f t="shared" si="46"/>
        <v>1.4678177414507178E-3</v>
      </c>
      <c r="F984" s="55">
        <f t="shared" si="47"/>
        <v>2024</v>
      </c>
    </row>
    <row r="985" spans="1:6" x14ac:dyDescent="0.35">
      <c r="A985" s="69">
        <v>45369</v>
      </c>
      <c r="B985" s="54">
        <v>2461.85</v>
      </c>
      <c r="C985" s="54">
        <v>22055.7</v>
      </c>
      <c r="D985" s="54">
        <f t="shared" si="45"/>
        <v>-3.0540659900681381E-2</v>
      </c>
      <c r="E985" s="54">
        <f t="shared" si="46"/>
        <v>-1.0860963573548457E-2</v>
      </c>
      <c r="F985" s="55">
        <f t="shared" si="47"/>
        <v>2024</v>
      </c>
    </row>
    <row r="986" spans="1:6" x14ac:dyDescent="0.35">
      <c r="A986" s="69">
        <v>45370</v>
      </c>
      <c r="B986" s="54">
        <v>2387.8000000000002</v>
      </c>
      <c r="C986" s="54">
        <v>21817.45</v>
      </c>
      <c r="D986" s="54">
        <f t="shared" si="45"/>
        <v>-1.3200768818670708E-3</v>
      </c>
      <c r="E986" s="54">
        <f t="shared" si="46"/>
        <v>9.9183292197013414E-4</v>
      </c>
      <c r="F986" s="55">
        <f t="shared" si="47"/>
        <v>2024</v>
      </c>
    </row>
    <row r="987" spans="1:6" x14ac:dyDescent="0.35">
      <c r="A987" s="69">
        <v>45371</v>
      </c>
      <c r="B987" s="54">
        <v>2384.65</v>
      </c>
      <c r="C987" s="54">
        <v>21839.1</v>
      </c>
      <c r="D987" s="54">
        <f t="shared" si="45"/>
        <v>2.1653858614036868E-2</v>
      </c>
      <c r="E987" s="54">
        <f t="shared" si="46"/>
        <v>7.883546470263552E-3</v>
      </c>
      <c r="F987" s="55">
        <f t="shared" si="47"/>
        <v>2024</v>
      </c>
    </row>
    <row r="988" spans="1:6" x14ac:dyDescent="0.35">
      <c r="A988" s="69">
        <v>45372</v>
      </c>
      <c r="B988" s="54">
        <v>2436.85</v>
      </c>
      <c r="C988" s="54">
        <v>22011.95</v>
      </c>
      <c r="D988" s="54">
        <f t="shared" si="45"/>
        <v>-1.9663933260334242E-2</v>
      </c>
      <c r="E988" s="54">
        <f t="shared" si="46"/>
        <v>3.8450511793153485E-3</v>
      </c>
      <c r="F988" s="55">
        <f t="shared" si="47"/>
        <v>2024</v>
      </c>
    </row>
    <row r="989" spans="1:6" x14ac:dyDescent="0.35">
      <c r="A989" s="69">
        <v>45373</v>
      </c>
      <c r="B989" s="54">
        <v>2389.4</v>
      </c>
      <c r="C989" s="54">
        <v>22096.75</v>
      </c>
      <c r="D989" s="54">
        <f t="shared" si="45"/>
        <v>-5.0348348365994331E-3</v>
      </c>
      <c r="E989" s="54">
        <f t="shared" si="46"/>
        <v>-4.1744719810147216E-3</v>
      </c>
      <c r="F989" s="55">
        <f t="shared" si="47"/>
        <v>2024</v>
      </c>
    </row>
    <row r="990" spans="1:6" x14ac:dyDescent="0.35">
      <c r="A990" s="69">
        <v>45377</v>
      </c>
      <c r="B990" s="54">
        <v>2377.4</v>
      </c>
      <c r="C990" s="54">
        <v>22004.7</v>
      </c>
      <c r="D990" s="54">
        <f t="shared" si="45"/>
        <v>1.2373705236547919E-2</v>
      </c>
      <c r="E990" s="54">
        <f t="shared" si="46"/>
        <v>5.3911051782769932E-3</v>
      </c>
      <c r="F990" s="55">
        <f t="shared" si="47"/>
        <v>2024</v>
      </c>
    </row>
    <row r="991" spans="1:6" x14ac:dyDescent="0.35">
      <c r="A991" s="69">
        <v>45378</v>
      </c>
      <c r="B991" s="54">
        <v>2407</v>
      </c>
      <c r="C991" s="54">
        <v>22123.65</v>
      </c>
      <c r="D991" s="54">
        <f t="shared" si="45"/>
        <v>-7.9040254663259469E-3</v>
      </c>
      <c r="E991" s="54">
        <f t="shared" si="46"/>
        <v>9.1450574409679217E-3</v>
      </c>
      <c r="F991" s="55">
        <f t="shared" si="47"/>
        <v>2024</v>
      </c>
    </row>
    <row r="992" spans="1:6" x14ac:dyDescent="0.35">
      <c r="A992" s="69">
        <v>45379</v>
      </c>
      <c r="B992" s="54">
        <v>2388.0500000000002</v>
      </c>
      <c r="C992" s="54">
        <v>22326.9</v>
      </c>
      <c r="D992" s="54">
        <f t="shared" si="45"/>
        <v>3.0395345811165458E-2</v>
      </c>
      <c r="E992" s="54">
        <f t="shared" si="46"/>
        <v>6.0327630166456293E-3</v>
      </c>
      <c r="F992" s="55">
        <f t="shared" si="47"/>
        <v>2024</v>
      </c>
    </row>
    <row r="993" spans="1:6" x14ac:dyDescent="0.35">
      <c r="A993" s="69">
        <v>45383</v>
      </c>
      <c r="B993" s="54">
        <v>2461.75</v>
      </c>
      <c r="C993" s="54">
        <v>22462</v>
      </c>
      <c r="D993" s="54">
        <f t="shared" si="45"/>
        <v>2.7179441501484483E-3</v>
      </c>
      <c r="E993" s="54">
        <f t="shared" si="46"/>
        <v>-3.8739583655484331E-4</v>
      </c>
      <c r="F993" s="55">
        <f t="shared" si="47"/>
        <v>2024</v>
      </c>
    </row>
    <row r="994" spans="1:6" x14ac:dyDescent="0.35">
      <c r="A994" s="69">
        <v>45384</v>
      </c>
      <c r="B994" s="54">
        <v>2468.4499999999998</v>
      </c>
      <c r="C994" s="54">
        <v>22453.3</v>
      </c>
      <c r="D994" s="54">
        <f t="shared" si="45"/>
        <v>6.3602528320335742E-3</v>
      </c>
      <c r="E994" s="54">
        <f t="shared" si="46"/>
        <v>-8.3095802205875437E-4</v>
      </c>
      <c r="F994" s="55">
        <f t="shared" si="47"/>
        <v>2024</v>
      </c>
    </row>
    <row r="995" spans="1:6" x14ac:dyDescent="0.35">
      <c r="A995" s="69">
        <v>45385</v>
      </c>
      <c r="B995" s="54">
        <v>2484.1999999999998</v>
      </c>
      <c r="C995" s="54">
        <v>22434.65</v>
      </c>
      <c r="D995" s="54">
        <f t="shared" si="45"/>
        <v>1.2083530373264616E-2</v>
      </c>
      <c r="E995" s="54">
        <f t="shared" si="46"/>
        <v>3.5595697583823936E-3</v>
      </c>
      <c r="F995" s="55">
        <f t="shared" si="47"/>
        <v>2024</v>
      </c>
    </row>
    <row r="996" spans="1:6" x14ac:dyDescent="0.35">
      <c r="A996" s="69">
        <v>45386</v>
      </c>
      <c r="B996" s="54">
        <v>2514.4</v>
      </c>
      <c r="C996" s="54">
        <v>22514.65</v>
      </c>
      <c r="D996" s="54">
        <f t="shared" si="45"/>
        <v>-1.5124380992498822E-3</v>
      </c>
      <c r="E996" s="54">
        <f t="shared" si="46"/>
        <v>-4.2195638976008428E-5</v>
      </c>
      <c r="F996" s="55">
        <f t="shared" si="47"/>
        <v>2024</v>
      </c>
    </row>
    <row r="997" spans="1:6" x14ac:dyDescent="0.35">
      <c r="A997" s="69">
        <v>45387</v>
      </c>
      <c r="B997" s="54">
        <v>2510.6</v>
      </c>
      <c r="C997" s="54">
        <v>22513.7</v>
      </c>
      <c r="D997" s="54">
        <f t="shared" si="45"/>
        <v>-2.2720925841660609E-2</v>
      </c>
      <c r="E997" s="54">
        <f t="shared" si="46"/>
        <v>6.7552271049311262E-3</v>
      </c>
      <c r="F997" s="55">
        <f t="shared" si="47"/>
        <v>2024</v>
      </c>
    </row>
    <row r="998" spans="1:6" x14ac:dyDescent="0.35">
      <c r="A998" s="69">
        <v>45390</v>
      </c>
      <c r="B998" s="54">
        <v>2454.1999999999998</v>
      </c>
      <c r="C998" s="54">
        <v>22666.3</v>
      </c>
      <c r="D998" s="54">
        <f t="shared" si="45"/>
        <v>1.2623436472188239E-3</v>
      </c>
      <c r="E998" s="54">
        <f t="shared" si="46"/>
        <v>-1.0395275169402805E-3</v>
      </c>
      <c r="F998" s="55">
        <f t="shared" si="47"/>
        <v>2024</v>
      </c>
    </row>
    <row r="999" spans="1:6" x14ac:dyDescent="0.35">
      <c r="A999" s="69">
        <v>45391</v>
      </c>
      <c r="B999" s="54">
        <v>2457.3000000000002</v>
      </c>
      <c r="C999" s="54">
        <v>22642.75</v>
      </c>
      <c r="D999" s="54">
        <f t="shared" si="45"/>
        <v>-4.9362670350958232E-3</v>
      </c>
      <c r="E999" s="54">
        <f t="shared" si="46"/>
        <v>4.8924520259116325E-3</v>
      </c>
      <c r="F999" s="55">
        <f t="shared" si="47"/>
        <v>2024</v>
      </c>
    </row>
    <row r="1000" spans="1:6" x14ac:dyDescent="0.35">
      <c r="A1000" s="69">
        <v>45392</v>
      </c>
      <c r="B1000" s="54">
        <v>2445.1999999999998</v>
      </c>
      <c r="C1000" s="54">
        <v>22753.8</v>
      </c>
      <c r="D1000" s="54">
        <f t="shared" si="45"/>
        <v>3.8844082388120072E-4</v>
      </c>
      <c r="E1000" s="54">
        <f t="shared" si="46"/>
        <v>-1.0355004482994602E-2</v>
      </c>
      <c r="F1000" s="55">
        <f t="shared" si="47"/>
        <v>2024</v>
      </c>
    </row>
    <row r="1001" spans="1:6" x14ac:dyDescent="0.35">
      <c r="A1001" s="69">
        <v>45394</v>
      </c>
      <c r="B1001" s="54">
        <v>2446.15</v>
      </c>
      <c r="C1001" s="54">
        <v>22519.4</v>
      </c>
      <c r="D1001" s="54">
        <f t="shared" si="45"/>
        <v>-2.1424447428378433E-2</v>
      </c>
      <c r="E1001" s="54">
        <f t="shared" si="46"/>
        <v>-1.1024426319883079E-2</v>
      </c>
      <c r="F1001" s="55">
        <f t="shared" si="47"/>
        <v>2024</v>
      </c>
    </row>
    <row r="1002" spans="1:6" x14ac:dyDescent="0.35">
      <c r="A1002" s="69">
        <v>45397</v>
      </c>
      <c r="B1002" s="54">
        <v>2394.3000000000002</v>
      </c>
      <c r="C1002" s="54">
        <v>22272.5</v>
      </c>
      <c r="D1002" s="54">
        <f t="shared" si="45"/>
        <v>-3.67095639220828E-2</v>
      </c>
      <c r="E1002" s="54">
        <f t="shared" si="46"/>
        <v>-5.6100497425024482E-3</v>
      </c>
      <c r="F1002" s="55">
        <f t="shared" si="47"/>
        <v>2024</v>
      </c>
    </row>
    <row r="1003" spans="1:6" x14ac:dyDescent="0.35">
      <c r="A1003" s="69">
        <v>45398</v>
      </c>
      <c r="B1003" s="54">
        <v>2308</v>
      </c>
      <c r="C1003" s="54">
        <v>22147.9</v>
      </c>
      <c r="D1003" s="54">
        <f t="shared" si="45"/>
        <v>1.2251334754306958E-2</v>
      </c>
      <c r="E1003" s="54">
        <f t="shared" si="46"/>
        <v>-6.8888846695565574E-3</v>
      </c>
      <c r="F1003" s="55">
        <f t="shared" si="47"/>
        <v>2024</v>
      </c>
    </row>
    <row r="1004" spans="1:6" x14ac:dyDescent="0.35">
      <c r="A1004" s="69">
        <v>45400</v>
      </c>
      <c r="B1004" s="54">
        <v>2336.4499999999998</v>
      </c>
      <c r="C1004" s="54">
        <v>21995.85</v>
      </c>
      <c r="D1004" s="54">
        <f t="shared" si="45"/>
        <v>-2.4325670142192748E-2</v>
      </c>
      <c r="E1004" s="54">
        <f t="shared" si="46"/>
        <v>6.8482479371053118E-3</v>
      </c>
      <c r="F1004" s="55">
        <f t="shared" si="47"/>
        <v>2024</v>
      </c>
    </row>
    <row r="1005" spans="1:6" x14ac:dyDescent="0.35">
      <c r="A1005" s="69">
        <v>45401</v>
      </c>
      <c r="B1005" s="54">
        <v>2280.3000000000002</v>
      </c>
      <c r="C1005" s="54">
        <v>22147</v>
      </c>
      <c r="D1005" s="54">
        <f t="shared" si="45"/>
        <v>-1.9037231561073922E-2</v>
      </c>
      <c r="E1005" s="54">
        <f t="shared" si="46"/>
        <v>8.5155875913575322E-3</v>
      </c>
      <c r="F1005" s="55">
        <f t="shared" si="47"/>
        <v>2024</v>
      </c>
    </row>
    <row r="1006" spans="1:6" x14ac:dyDescent="0.35">
      <c r="A1006" s="69">
        <v>45404</v>
      </c>
      <c r="B1006" s="54">
        <v>2237.3000000000002</v>
      </c>
      <c r="C1006" s="54">
        <v>22336.400000000001</v>
      </c>
      <c r="D1006" s="54">
        <f t="shared" si="45"/>
        <v>2.7896510944148689E-3</v>
      </c>
      <c r="E1006" s="54">
        <f t="shared" si="46"/>
        <v>1.4137313223340777E-3</v>
      </c>
      <c r="F1006" s="55">
        <f t="shared" si="47"/>
        <v>2024</v>
      </c>
    </row>
    <row r="1007" spans="1:6" x14ac:dyDescent="0.35">
      <c r="A1007" s="69">
        <v>45405</v>
      </c>
      <c r="B1007" s="54">
        <v>2243.5500000000002</v>
      </c>
      <c r="C1007" s="54">
        <v>22368</v>
      </c>
      <c r="D1007" s="54">
        <f t="shared" si="45"/>
        <v>-2.2286357407310809E-5</v>
      </c>
      <c r="E1007" s="54">
        <f t="shared" si="46"/>
        <v>1.5367299273513811E-3</v>
      </c>
      <c r="F1007" s="55">
        <f t="shared" si="47"/>
        <v>2024</v>
      </c>
    </row>
    <row r="1008" spans="1:6" x14ac:dyDescent="0.35">
      <c r="A1008" s="69">
        <v>45406</v>
      </c>
      <c r="B1008" s="54">
        <v>2243.5</v>
      </c>
      <c r="C1008" s="54">
        <v>22402.400000000001</v>
      </c>
      <c r="D1008" s="54">
        <f t="shared" si="45"/>
        <v>-6.3495115845047046E-3</v>
      </c>
      <c r="E1008" s="54">
        <f t="shared" si="46"/>
        <v>7.4690020410453127E-3</v>
      </c>
      <c r="F1008" s="55">
        <f t="shared" si="47"/>
        <v>2024</v>
      </c>
    </row>
    <row r="1009" spans="1:6" x14ac:dyDescent="0.35">
      <c r="A1009" s="69">
        <v>45407</v>
      </c>
      <c r="B1009" s="54">
        <v>2229.3000000000002</v>
      </c>
      <c r="C1009" s="54">
        <v>22570.35</v>
      </c>
      <c r="D1009" s="54">
        <f t="shared" si="45"/>
        <v>3.0395059731326866E-2</v>
      </c>
      <c r="E1009" s="54">
        <f t="shared" si="46"/>
        <v>-6.6859105299196739E-3</v>
      </c>
      <c r="F1009" s="55">
        <f t="shared" si="47"/>
        <v>2024</v>
      </c>
    </row>
    <row r="1010" spans="1:6" x14ac:dyDescent="0.35">
      <c r="A1010" s="69">
        <v>45408</v>
      </c>
      <c r="B1010" s="54">
        <v>2298.1</v>
      </c>
      <c r="C1010" s="54">
        <v>22419.95</v>
      </c>
      <c r="D1010" s="54">
        <f t="shared" si="45"/>
        <v>1.8431416693601967E-2</v>
      </c>
      <c r="E1010" s="54">
        <f t="shared" si="46"/>
        <v>9.9172312481621942E-3</v>
      </c>
      <c r="F1010" s="55">
        <f t="shared" si="47"/>
        <v>2024</v>
      </c>
    </row>
    <row r="1011" spans="1:6" x14ac:dyDescent="0.35">
      <c r="A1011" s="69">
        <v>45411</v>
      </c>
      <c r="B1011" s="54">
        <v>2340.85</v>
      </c>
      <c r="C1011" s="54">
        <v>22643.4</v>
      </c>
      <c r="D1011" s="54">
        <f t="shared" si="45"/>
        <v>-1.1169220651817297E-2</v>
      </c>
      <c r="E1011" s="54">
        <f t="shared" si="46"/>
        <v>-1.7039337135533136E-3</v>
      </c>
      <c r="F1011" s="55">
        <f t="shared" si="47"/>
        <v>2024</v>
      </c>
    </row>
    <row r="1012" spans="1:6" x14ac:dyDescent="0.35">
      <c r="A1012" s="69">
        <v>45412</v>
      </c>
      <c r="B1012" s="54">
        <v>2314.85</v>
      </c>
      <c r="C1012" s="54">
        <v>22604.85</v>
      </c>
      <c r="D1012" s="54">
        <f t="shared" si="45"/>
        <v>1.9636409179580967E-3</v>
      </c>
      <c r="E1012" s="54">
        <f t="shared" si="46"/>
        <v>1.9158935479583357E-3</v>
      </c>
      <c r="F1012" s="55">
        <f t="shared" si="47"/>
        <v>2024</v>
      </c>
    </row>
    <row r="1013" spans="1:6" x14ac:dyDescent="0.35">
      <c r="A1013" s="69">
        <v>45414</v>
      </c>
      <c r="B1013" s="54">
        <v>2319.4</v>
      </c>
      <c r="C1013" s="54">
        <v>22648.2</v>
      </c>
      <c r="D1013" s="54">
        <f t="shared" si="45"/>
        <v>-1.1927363657241577E-2</v>
      </c>
      <c r="E1013" s="54">
        <f t="shared" si="46"/>
        <v>-7.6389791301331271E-3</v>
      </c>
      <c r="F1013" s="55">
        <f t="shared" si="47"/>
        <v>2024</v>
      </c>
    </row>
    <row r="1014" spans="1:6" x14ac:dyDescent="0.35">
      <c r="A1014" s="69">
        <v>45415</v>
      </c>
      <c r="B1014" s="54">
        <v>2291.9</v>
      </c>
      <c r="C1014" s="54">
        <v>22475.85</v>
      </c>
      <c r="D1014" s="54">
        <f t="shared" si="45"/>
        <v>3.1583215284338873E-3</v>
      </c>
      <c r="E1014" s="54">
        <f t="shared" si="46"/>
        <v>-1.476005170173867E-3</v>
      </c>
      <c r="F1014" s="55">
        <f t="shared" si="47"/>
        <v>2024</v>
      </c>
    </row>
    <row r="1015" spans="1:6" x14ac:dyDescent="0.35">
      <c r="A1015" s="69">
        <v>45418</v>
      </c>
      <c r="B1015" s="54">
        <v>2299.15</v>
      </c>
      <c r="C1015" s="54">
        <v>22442.7</v>
      </c>
      <c r="D1015" s="54">
        <f t="shared" si="45"/>
        <v>-5.3860290039789817E-3</v>
      </c>
      <c r="E1015" s="54">
        <f t="shared" si="46"/>
        <v>-6.2666144663355581E-3</v>
      </c>
      <c r="F1015" s="55">
        <f t="shared" si="47"/>
        <v>2024</v>
      </c>
    </row>
    <row r="1016" spans="1:6" x14ac:dyDescent="0.35">
      <c r="A1016" s="69">
        <v>45419</v>
      </c>
      <c r="B1016" s="54">
        <v>2286.8000000000002</v>
      </c>
      <c r="C1016" s="54">
        <v>22302.5</v>
      </c>
      <c r="D1016" s="54">
        <f t="shared" si="45"/>
        <v>-3.1096050459675012E-3</v>
      </c>
      <c r="E1016" s="54">
        <f t="shared" si="46"/>
        <v>0</v>
      </c>
      <c r="F1016" s="55">
        <f t="shared" si="47"/>
        <v>2024</v>
      </c>
    </row>
    <row r="1017" spans="1:6" x14ac:dyDescent="0.35">
      <c r="A1017" s="69">
        <v>45420</v>
      </c>
      <c r="B1017" s="54">
        <v>2279.6999999999998</v>
      </c>
      <c r="C1017" s="54">
        <v>22302.5</v>
      </c>
      <c r="D1017" s="54">
        <f t="shared" si="45"/>
        <v>-1.340256977070539E-2</v>
      </c>
      <c r="E1017" s="54">
        <f t="shared" si="46"/>
        <v>-1.5590012996666094E-2</v>
      </c>
      <c r="F1017" s="55">
        <f t="shared" si="47"/>
        <v>2024</v>
      </c>
    </row>
    <row r="1018" spans="1:6" x14ac:dyDescent="0.35">
      <c r="A1018" s="69">
        <v>45421</v>
      </c>
      <c r="B1018" s="54">
        <v>2249.35</v>
      </c>
      <c r="C1018" s="54">
        <v>21957.5</v>
      </c>
      <c r="D1018" s="54">
        <f t="shared" si="45"/>
        <v>-8.101728259864438E-3</v>
      </c>
      <c r="E1018" s="54">
        <f t="shared" si="46"/>
        <v>4.4396349451461085E-3</v>
      </c>
      <c r="F1018" s="55">
        <f t="shared" si="47"/>
        <v>2024</v>
      </c>
    </row>
    <row r="1019" spans="1:6" x14ac:dyDescent="0.35">
      <c r="A1019" s="69">
        <v>45422</v>
      </c>
      <c r="B1019" s="54">
        <v>2231.1999999999998</v>
      </c>
      <c r="C1019" s="54">
        <v>22055.200000000001</v>
      </c>
      <c r="D1019" s="54">
        <f t="shared" si="45"/>
        <v>1.045519293406578E-2</v>
      </c>
      <c r="E1019" s="54">
        <f t="shared" si="46"/>
        <v>2.2124478982964036E-3</v>
      </c>
      <c r="F1019" s="55">
        <f t="shared" si="47"/>
        <v>2024</v>
      </c>
    </row>
    <row r="1020" spans="1:6" x14ac:dyDescent="0.35">
      <c r="A1020" s="69">
        <v>45425</v>
      </c>
      <c r="B1020" s="54">
        <v>2254.65</v>
      </c>
      <c r="C1020" s="54">
        <v>22104.05</v>
      </c>
      <c r="D1020" s="54">
        <f t="shared" si="45"/>
        <v>2.0805280041868872E-2</v>
      </c>
      <c r="E1020" s="54">
        <f t="shared" si="46"/>
        <v>5.1351702014188691E-3</v>
      </c>
      <c r="F1020" s="55">
        <f t="shared" si="47"/>
        <v>2024</v>
      </c>
    </row>
    <row r="1021" spans="1:6" x14ac:dyDescent="0.35">
      <c r="A1021" s="69">
        <v>45426</v>
      </c>
      <c r="B1021" s="54">
        <v>2302.0500000000002</v>
      </c>
      <c r="C1021" s="54">
        <v>22217.85</v>
      </c>
      <c r="D1021" s="54">
        <f t="shared" si="45"/>
        <v>-1.2105733013979967E-2</v>
      </c>
      <c r="E1021" s="54">
        <f t="shared" si="46"/>
        <v>-7.7895650787794773E-4</v>
      </c>
      <c r="F1021" s="55">
        <f t="shared" si="47"/>
        <v>2024</v>
      </c>
    </row>
    <row r="1022" spans="1:6" x14ac:dyDescent="0.35">
      <c r="A1022" s="69">
        <v>45427</v>
      </c>
      <c r="B1022" s="54">
        <v>2274.35</v>
      </c>
      <c r="C1022" s="54">
        <v>22200.55</v>
      </c>
      <c r="D1022" s="54">
        <f t="shared" si="45"/>
        <v>4.1596421419352929E-2</v>
      </c>
      <c r="E1022" s="54">
        <f t="shared" si="46"/>
        <v>9.115755746059738E-3</v>
      </c>
      <c r="F1022" s="55">
        <f t="shared" si="47"/>
        <v>2024</v>
      </c>
    </row>
    <row r="1023" spans="1:6" x14ac:dyDescent="0.35">
      <c r="A1023" s="69">
        <v>45428</v>
      </c>
      <c r="B1023" s="54">
        <v>2370.9499999999998</v>
      </c>
      <c r="C1023" s="54">
        <v>22403.85</v>
      </c>
      <c r="D1023" s="54">
        <f t="shared" si="45"/>
        <v>-2.5350793250963864E-2</v>
      </c>
      <c r="E1023" s="54">
        <f t="shared" si="46"/>
        <v>2.7746872879504058E-3</v>
      </c>
      <c r="F1023" s="55">
        <f t="shared" si="47"/>
        <v>2024</v>
      </c>
    </row>
    <row r="1024" spans="1:6" x14ac:dyDescent="0.35">
      <c r="A1024" s="69">
        <v>45429</v>
      </c>
      <c r="B1024" s="54">
        <v>2311.6</v>
      </c>
      <c r="C1024" s="54">
        <v>22466.1</v>
      </c>
      <c r="D1024" s="54">
        <f t="shared" si="45"/>
        <v>4.6181484351546466E-3</v>
      </c>
      <c r="E1024" s="54">
        <f t="shared" si="46"/>
        <v>1.5966877687512294E-3</v>
      </c>
      <c r="F1024" s="55">
        <f t="shared" si="47"/>
        <v>2024</v>
      </c>
    </row>
    <row r="1025" spans="1:6" x14ac:dyDescent="0.35">
      <c r="A1025" s="69">
        <v>45430</v>
      </c>
      <c r="B1025" s="54">
        <v>2322.3000000000002</v>
      </c>
      <c r="C1025" s="54">
        <v>22502</v>
      </c>
      <c r="D1025" s="54">
        <f t="shared" si="45"/>
        <v>2.1407252198830169E-2</v>
      </c>
      <c r="E1025" s="54">
        <f t="shared" si="46"/>
        <v>1.2013934053743151E-3</v>
      </c>
      <c r="F1025" s="55">
        <f t="shared" si="47"/>
        <v>2024</v>
      </c>
    </row>
    <row r="1026" spans="1:6" x14ac:dyDescent="0.35">
      <c r="A1026" s="69">
        <v>45433</v>
      </c>
      <c r="B1026" s="54">
        <v>2372.5500000000002</v>
      </c>
      <c r="C1026" s="54">
        <v>22529.05</v>
      </c>
      <c r="D1026" s="54">
        <f t="shared" ref="D1026:D1089" si="48">LN(B1027/B1026)</f>
        <v>-2.1096609162023841E-3</v>
      </c>
      <c r="E1026" s="54">
        <f t="shared" ref="E1026:E1089" si="49">LN(C1027/C1026)</f>
        <v>3.0469688528972257E-3</v>
      </c>
      <c r="F1026" s="55">
        <f t="shared" ref="F1026:F1089" si="50">YEAR(A1026)</f>
        <v>2024</v>
      </c>
    </row>
    <row r="1027" spans="1:6" x14ac:dyDescent="0.35">
      <c r="A1027" s="69">
        <v>45434</v>
      </c>
      <c r="B1027" s="54">
        <v>2367.5500000000002</v>
      </c>
      <c r="C1027" s="54">
        <v>22597.8</v>
      </c>
      <c r="D1027" s="54">
        <f t="shared" si="48"/>
        <v>1.2383149463017577E-2</v>
      </c>
      <c r="E1027" s="54">
        <f t="shared" si="49"/>
        <v>1.6234147702677632E-2</v>
      </c>
      <c r="F1027" s="55">
        <f t="shared" si="50"/>
        <v>2024</v>
      </c>
    </row>
    <row r="1028" spans="1:6" x14ac:dyDescent="0.35">
      <c r="A1028" s="69">
        <v>45435</v>
      </c>
      <c r="B1028" s="54">
        <v>2397.0500000000002</v>
      </c>
      <c r="C1028" s="54">
        <v>22967.65</v>
      </c>
      <c r="D1028" s="54">
        <f t="shared" si="48"/>
        <v>-2.548038137156824E-3</v>
      </c>
      <c r="E1028" s="54">
        <f t="shared" si="49"/>
        <v>-4.5944725602593643E-4</v>
      </c>
      <c r="F1028" s="55">
        <f t="shared" si="50"/>
        <v>2024</v>
      </c>
    </row>
    <row r="1029" spans="1:6" x14ac:dyDescent="0.35">
      <c r="A1029" s="69">
        <v>45436</v>
      </c>
      <c r="B1029" s="54">
        <v>2390.9499999999998</v>
      </c>
      <c r="C1029" s="54">
        <v>22957.1</v>
      </c>
      <c r="D1029" s="54">
        <f t="shared" si="48"/>
        <v>2.0778463243023831E-2</v>
      </c>
      <c r="E1029" s="54">
        <f t="shared" si="49"/>
        <v>-1.0743187662915156E-3</v>
      </c>
      <c r="F1029" s="55">
        <f t="shared" si="50"/>
        <v>2024</v>
      </c>
    </row>
    <row r="1030" spans="1:6" x14ac:dyDescent="0.35">
      <c r="A1030" s="69">
        <v>45439</v>
      </c>
      <c r="B1030" s="54">
        <v>2441.15</v>
      </c>
      <c r="C1030" s="54">
        <v>22932.45</v>
      </c>
      <c r="D1030" s="54">
        <f t="shared" si="48"/>
        <v>-1.6833849614932062E-2</v>
      </c>
      <c r="E1030" s="54">
        <f t="shared" si="49"/>
        <v>-1.9336287086089532E-3</v>
      </c>
      <c r="F1030" s="55">
        <f t="shared" si="50"/>
        <v>2024</v>
      </c>
    </row>
    <row r="1031" spans="1:6" x14ac:dyDescent="0.35">
      <c r="A1031" s="69">
        <v>45440</v>
      </c>
      <c r="B1031" s="54">
        <v>2400.4</v>
      </c>
      <c r="C1031" s="54">
        <v>22888.15</v>
      </c>
      <c r="D1031" s="54">
        <f t="shared" si="48"/>
        <v>-1.517454321973632E-2</v>
      </c>
      <c r="E1031" s="54">
        <f t="shared" si="49"/>
        <v>-8.0473578649701855E-3</v>
      </c>
      <c r="F1031" s="55">
        <f t="shared" si="50"/>
        <v>2024</v>
      </c>
    </row>
    <row r="1032" spans="1:6" x14ac:dyDescent="0.35">
      <c r="A1032" s="69">
        <v>45441</v>
      </c>
      <c r="B1032" s="54">
        <v>2364.25</v>
      </c>
      <c r="C1032" s="54">
        <v>22704.7</v>
      </c>
      <c r="D1032" s="54">
        <f t="shared" si="48"/>
        <v>-2.2001935193485134E-2</v>
      </c>
      <c r="E1032" s="54">
        <f t="shared" si="49"/>
        <v>-9.5612140229056203E-3</v>
      </c>
      <c r="F1032" s="55">
        <f t="shared" si="50"/>
        <v>2024</v>
      </c>
    </row>
    <row r="1033" spans="1:6" x14ac:dyDescent="0.35">
      <c r="A1033" s="69">
        <v>45442</v>
      </c>
      <c r="B1033" s="54">
        <v>2312.8000000000002</v>
      </c>
      <c r="C1033" s="54">
        <v>22488.65</v>
      </c>
      <c r="D1033" s="54">
        <f t="shared" si="48"/>
        <v>-1.2486838047548221E-2</v>
      </c>
      <c r="E1033" s="54">
        <f t="shared" si="49"/>
        <v>1.8680861553376123E-3</v>
      </c>
      <c r="F1033" s="55">
        <f t="shared" si="50"/>
        <v>2024</v>
      </c>
    </row>
    <row r="1034" spans="1:6" x14ac:dyDescent="0.35">
      <c r="A1034" s="69">
        <v>45443</v>
      </c>
      <c r="B1034" s="54">
        <v>2284.1</v>
      </c>
      <c r="C1034" s="54">
        <v>22530.7</v>
      </c>
      <c r="D1034" s="54">
        <f t="shared" si="48"/>
        <v>2.55790959419507E-3</v>
      </c>
      <c r="E1034" s="54">
        <f t="shared" si="49"/>
        <v>3.2023979208572827E-2</v>
      </c>
      <c r="F1034" s="55">
        <f t="shared" si="50"/>
        <v>2024</v>
      </c>
    </row>
    <row r="1035" spans="1:6" x14ac:dyDescent="0.35">
      <c r="A1035" s="69">
        <v>45446</v>
      </c>
      <c r="B1035" s="54">
        <v>2289.9499999999998</v>
      </c>
      <c r="C1035" s="54">
        <v>23263.9</v>
      </c>
      <c r="D1035" s="54">
        <f t="shared" si="48"/>
        <v>-6.330174792086642E-3</v>
      </c>
      <c r="E1035" s="54">
        <f t="shared" si="49"/>
        <v>-6.1124179171720965E-2</v>
      </c>
      <c r="F1035" s="55">
        <f t="shared" si="50"/>
        <v>2024</v>
      </c>
    </row>
    <row r="1036" spans="1:6" x14ac:dyDescent="0.35">
      <c r="A1036" s="69">
        <v>45447</v>
      </c>
      <c r="B1036" s="54">
        <v>2275.5</v>
      </c>
      <c r="C1036" s="54">
        <v>21884.5</v>
      </c>
      <c r="D1036" s="54">
        <f t="shared" si="48"/>
        <v>3.7351245406965605E-2</v>
      </c>
      <c r="E1036" s="54">
        <f t="shared" si="49"/>
        <v>3.3071319917765837E-2</v>
      </c>
      <c r="F1036" s="55">
        <f t="shared" si="50"/>
        <v>2024</v>
      </c>
    </row>
    <row r="1037" spans="1:6" x14ac:dyDescent="0.35">
      <c r="A1037" s="69">
        <v>45448</v>
      </c>
      <c r="B1037" s="54">
        <v>2362.1</v>
      </c>
      <c r="C1037" s="54">
        <v>22620.35</v>
      </c>
      <c r="D1037" s="54">
        <f t="shared" si="48"/>
        <v>3.092944109281277E-2</v>
      </c>
      <c r="E1037" s="54">
        <f t="shared" si="49"/>
        <v>8.8487486443831614E-3</v>
      </c>
      <c r="F1037" s="55">
        <f t="shared" si="50"/>
        <v>2024</v>
      </c>
    </row>
    <row r="1038" spans="1:6" x14ac:dyDescent="0.35">
      <c r="A1038" s="69">
        <v>45449</v>
      </c>
      <c r="B1038" s="54">
        <v>2436.3000000000002</v>
      </c>
      <c r="C1038" s="54">
        <v>22821.4</v>
      </c>
      <c r="D1038" s="54">
        <f t="shared" si="48"/>
        <v>1.4526817879330441E-2</v>
      </c>
      <c r="E1038" s="54">
        <f t="shared" si="49"/>
        <v>2.0331832162561177E-2</v>
      </c>
      <c r="F1038" s="55">
        <f t="shared" si="50"/>
        <v>2024</v>
      </c>
    </row>
    <row r="1039" spans="1:6" x14ac:dyDescent="0.35">
      <c r="A1039" s="69">
        <v>45450</v>
      </c>
      <c r="B1039" s="54">
        <v>2471.9499999999998</v>
      </c>
      <c r="C1039" s="54">
        <v>23290.15</v>
      </c>
      <c r="D1039" s="54">
        <f t="shared" si="48"/>
        <v>-3.1791110553062142E-2</v>
      </c>
      <c r="E1039" s="54">
        <f t="shared" si="49"/>
        <v>-1.3297717180034533E-3</v>
      </c>
      <c r="F1039" s="55">
        <f t="shared" si="50"/>
        <v>2024</v>
      </c>
    </row>
    <row r="1040" spans="1:6" x14ac:dyDescent="0.35">
      <c r="A1040" s="69">
        <v>45453</v>
      </c>
      <c r="B1040" s="54">
        <v>2394.6</v>
      </c>
      <c r="C1040" s="54">
        <v>23259.200000000001</v>
      </c>
      <c r="D1040" s="54">
        <f t="shared" si="48"/>
        <v>-1.1281731061837203E-3</v>
      </c>
      <c r="E1040" s="54">
        <f t="shared" si="49"/>
        <v>2.4288513264755015E-4</v>
      </c>
      <c r="F1040" s="55">
        <f t="shared" si="50"/>
        <v>2024</v>
      </c>
    </row>
    <row r="1041" spans="1:6" x14ac:dyDescent="0.35">
      <c r="A1041" s="69">
        <v>45454</v>
      </c>
      <c r="B1041" s="54">
        <v>2391.9</v>
      </c>
      <c r="C1041" s="54">
        <v>23264.85</v>
      </c>
      <c r="D1041" s="54">
        <f t="shared" si="48"/>
        <v>2.5261764845969227E-3</v>
      </c>
      <c r="E1041" s="54">
        <f t="shared" si="49"/>
        <v>2.4942165167948799E-3</v>
      </c>
      <c r="F1041" s="55">
        <f t="shared" si="50"/>
        <v>2024</v>
      </c>
    </row>
    <row r="1042" spans="1:6" x14ac:dyDescent="0.35">
      <c r="A1042" s="69">
        <v>45455</v>
      </c>
      <c r="B1042" s="54">
        <v>2397.9499999999998</v>
      </c>
      <c r="C1042" s="54">
        <v>23322.95</v>
      </c>
      <c r="D1042" s="54">
        <f t="shared" si="48"/>
        <v>2.4123366947546507E-2</v>
      </c>
      <c r="E1042" s="54">
        <f t="shared" si="49"/>
        <v>3.2511583723450442E-3</v>
      </c>
      <c r="F1042" s="55">
        <f t="shared" si="50"/>
        <v>2024</v>
      </c>
    </row>
    <row r="1043" spans="1:6" x14ac:dyDescent="0.35">
      <c r="A1043" s="69">
        <v>45456</v>
      </c>
      <c r="B1043" s="54">
        <v>2456.5</v>
      </c>
      <c r="C1043" s="54">
        <v>23398.9</v>
      </c>
      <c r="D1043" s="54">
        <f t="shared" si="48"/>
        <v>-1.9588117433093299E-2</v>
      </c>
      <c r="E1043" s="54">
        <f t="shared" si="49"/>
        <v>2.8465062056323236E-3</v>
      </c>
      <c r="F1043" s="55">
        <f t="shared" si="50"/>
        <v>2024</v>
      </c>
    </row>
    <row r="1044" spans="1:6" x14ac:dyDescent="0.35">
      <c r="A1044" s="69">
        <v>45457</v>
      </c>
      <c r="B1044" s="54">
        <v>2408.85</v>
      </c>
      <c r="C1044" s="54">
        <v>23465.599999999999</v>
      </c>
      <c r="D1044" s="54">
        <f t="shared" si="48"/>
        <v>3.5224436570061449E-3</v>
      </c>
      <c r="E1044" s="54">
        <f t="shared" si="49"/>
        <v>3.9257017677237702E-3</v>
      </c>
      <c r="F1044" s="55">
        <f t="shared" si="50"/>
        <v>2024</v>
      </c>
    </row>
    <row r="1045" spans="1:6" x14ac:dyDescent="0.35">
      <c r="A1045" s="69">
        <v>45461</v>
      </c>
      <c r="B1045" s="54">
        <v>2417.35</v>
      </c>
      <c r="C1045" s="54">
        <v>23557.9</v>
      </c>
      <c r="D1045" s="54">
        <f t="shared" si="48"/>
        <v>-2.4644071494052565E-3</v>
      </c>
      <c r="E1045" s="54">
        <f t="shared" si="49"/>
        <v>-1.7801801450586289E-3</v>
      </c>
      <c r="F1045" s="55">
        <f t="shared" si="50"/>
        <v>2024</v>
      </c>
    </row>
    <row r="1046" spans="1:6" x14ac:dyDescent="0.35">
      <c r="A1046" s="69">
        <v>45462</v>
      </c>
      <c r="B1046" s="54">
        <v>2411.4</v>
      </c>
      <c r="C1046" s="54">
        <v>23516</v>
      </c>
      <c r="D1046" s="54">
        <f t="shared" si="48"/>
        <v>3.95253341869653E-3</v>
      </c>
      <c r="E1046" s="54">
        <f t="shared" si="49"/>
        <v>2.1663878659495613E-3</v>
      </c>
      <c r="F1046" s="55">
        <f t="shared" si="50"/>
        <v>2024</v>
      </c>
    </row>
    <row r="1047" spans="1:6" x14ac:dyDescent="0.35">
      <c r="A1047" s="69">
        <v>45463</v>
      </c>
      <c r="B1047" s="54">
        <v>2420.9499999999998</v>
      </c>
      <c r="C1047" s="54">
        <v>23567</v>
      </c>
      <c r="D1047" s="54">
        <f t="shared" si="48"/>
        <v>3.6283462816730765E-3</v>
      </c>
      <c r="E1047" s="54">
        <f t="shared" si="49"/>
        <v>-2.800199840690768E-3</v>
      </c>
      <c r="F1047" s="55">
        <f t="shared" si="50"/>
        <v>2024</v>
      </c>
    </row>
    <row r="1048" spans="1:6" x14ac:dyDescent="0.35">
      <c r="A1048" s="69">
        <v>45464</v>
      </c>
      <c r="B1048" s="54">
        <v>2429.75</v>
      </c>
      <c r="C1048" s="54">
        <v>23501.1</v>
      </c>
      <c r="D1048" s="54">
        <f t="shared" si="48"/>
        <v>-1.4739225566310559E-2</v>
      </c>
      <c r="E1048" s="54">
        <f t="shared" si="49"/>
        <v>1.5625351959234377E-3</v>
      </c>
      <c r="F1048" s="55">
        <f t="shared" si="50"/>
        <v>2024</v>
      </c>
    </row>
    <row r="1049" spans="1:6" x14ac:dyDescent="0.35">
      <c r="A1049" s="69">
        <v>45467</v>
      </c>
      <c r="B1049" s="54">
        <v>2394.1999999999998</v>
      </c>
      <c r="C1049" s="54">
        <v>23537.85</v>
      </c>
      <c r="D1049" s="54">
        <f t="shared" si="48"/>
        <v>5.8719585690189249E-3</v>
      </c>
      <c r="E1049" s="54">
        <f t="shared" si="49"/>
        <v>7.7636149373623573E-3</v>
      </c>
      <c r="F1049" s="55">
        <f t="shared" si="50"/>
        <v>2024</v>
      </c>
    </row>
    <row r="1050" spans="1:6" x14ac:dyDescent="0.35">
      <c r="A1050" s="69">
        <v>45468</v>
      </c>
      <c r="B1050" s="54">
        <v>2408.3000000000002</v>
      </c>
      <c r="C1050" s="54">
        <v>23721.3</v>
      </c>
      <c r="D1050" s="54">
        <f t="shared" si="48"/>
        <v>4.6191372068110524E-3</v>
      </c>
      <c r="E1050" s="54">
        <f t="shared" si="49"/>
        <v>6.1987880801539115E-3</v>
      </c>
      <c r="F1050" s="55">
        <f t="shared" si="50"/>
        <v>2024</v>
      </c>
    </row>
    <row r="1051" spans="1:6" x14ac:dyDescent="0.35">
      <c r="A1051" s="69">
        <v>45469</v>
      </c>
      <c r="B1051" s="54">
        <v>2419.4499999999998</v>
      </c>
      <c r="C1051" s="54">
        <v>23868.799999999999</v>
      </c>
      <c r="D1051" s="54">
        <f t="shared" si="48"/>
        <v>9.3180832800708133E-3</v>
      </c>
      <c r="E1051" s="54">
        <f t="shared" si="49"/>
        <v>7.3341133907751897E-3</v>
      </c>
      <c r="F1051" s="55">
        <f t="shared" si="50"/>
        <v>2024</v>
      </c>
    </row>
    <row r="1052" spans="1:6" x14ac:dyDescent="0.35">
      <c r="A1052" s="69">
        <v>45470</v>
      </c>
      <c r="B1052" s="54">
        <v>2442.1</v>
      </c>
      <c r="C1052" s="54">
        <v>24044.5</v>
      </c>
      <c r="D1052" s="54">
        <f t="shared" si="48"/>
        <v>5.8996016908161222E-3</v>
      </c>
      <c r="E1052" s="54">
        <f t="shared" si="49"/>
        <v>-1.4108806608831069E-3</v>
      </c>
      <c r="F1052" s="55">
        <f t="shared" si="50"/>
        <v>2024</v>
      </c>
    </row>
    <row r="1053" spans="1:6" x14ac:dyDescent="0.35">
      <c r="A1053" s="69">
        <v>45471</v>
      </c>
      <c r="B1053" s="54">
        <v>2456.5500000000002</v>
      </c>
      <c r="C1053" s="54">
        <v>24010.6</v>
      </c>
      <c r="D1053" s="54">
        <f t="shared" si="48"/>
        <v>1.5490721658081272E-2</v>
      </c>
      <c r="E1053" s="54">
        <f t="shared" si="49"/>
        <v>5.4555916887449258E-3</v>
      </c>
      <c r="F1053" s="55">
        <f t="shared" si="50"/>
        <v>2024</v>
      </c>
    </row>
    <row r="1054" spans="1:6" x14ac:dyDescent="0.35">
      <c r="A1054" s="69">
        <v>45474</v>
      </c>
      <c r="B1054" s="54">
        <v>2494.9</v>
      </c>
      <c r="C1054" s="54">
        <v>24141.95</v>
      </c>
      <c r="D1054" s="54">
        <f t="shared" si="48"/>
        <v>4.4990627873992437E-3</v>
      </c>
      <c r="E1054" s="54">
        <f t="shared" si="49"/>
        <v>-7.5001350225091805E-4</v>
      </c>
      <c r="F1054" s="55">
        <f t="shared" si="50"/>
        <v>2024</v>
      </c>
    </row>
    <row r="1055" spans="1:6" x14ac:dyDescent="0.35">
      <c r="A1055" s="69">
        <v>45475</v>
      </c>
      <c r="B1055" s="54">
        <v>2506.15</v>
      </c>
      <c r="C1055" s="54">
        <v>24123.85</v>
      </c>
      <c r="D1055" s="54">
        <f t="shared" si="48"/>
        <v>2.4944157194764442E-2</v>
      </c>
      <c r="E1055" s="54">
        <f t="shared" si="49"/>
        <v>6.7196627176867064E-3</v>
      </c>
      <c r="F1055" s="55">
        <f t="shared" si="50"/>
        <v>2024</v>
      </c>
    </row>
    <row r="1056" spans="1:6" x14ac:dyDescent="0.35">
      <c r="A1056" s="69">
        <v>45476</v>
      </c>
      <c r="B1056" s="54">
        <v>2569.4499999999998</v>
      </c>
      <c r="C1056" s="54">
        <v>24286.5</v>
      </c>
      <c r="D1056" s="54">
        <f t="shared" si="48"/>
        <v>5.3370722398341126E-3</v>
      </c>
      <c r="E1056" s="54">
        <f t="shared" si="49"/>
        <v>6.4418338608693553E-4</v>
      </c>
      <c r="F1056" s="55">
        <f t="shared" si="50"/>
        <v>2024</v>
      </c>
    </row>
    <row r="1057" spans="1:6" x14ac:dyDescent="0.35">
      <c r="A1057" s="69">
        <v>45477</v>
      </c>
      <c r="B1057" s="54">
        <v>2583.1999999999998</v>
      </c>
      <c r="C1057" s="54">
        <v>24302.15</v>
      </c>
      <c r="D1057" s="54">
        <f t="shared" si="48"/>
        <v>1.7536567285849406E-2</v>
      </c>
      <c r="E1057" s="54">
        <f t="shared" si="49"/>
        <v>8.9252669109216129E-4</v>
      </c>
      <c r="F1057" s="55">
        <f t="shared" si="50"/>
        <v>2024</v>
      </c>
    </row>
    <row r="1058" spans="1:6" x14ac:dyDescent="0.35">
      <c r="A1058" s="69">
        <v>45478</v>
      </c>
      <c r="B1058" s="54">
        <v>2628.9</v>
      </c>
      <c r="C1058" s="54">
        <v>24323.85</v>
      </c>
      <c r="D1058" s="54">
        <f t="shared" si="48"/>
        <v>-7.3877150712456374E-3</v>
      </c>
      <c r="E1058" s="54">
        <f t="shared" si="49"/>
        <v>-1.3567851613180805E-4</v>
      </c>
      <c r="F1058" s="55">
        <f t="shared" si="50"/>
        <v>2024</v>
      </c>
    </row>
    <row r="1059" spans="1:6" x14ac:dyDescent="0.35">
      <c r="A1059" s="69">
        <v>45481</v>
      </c>
      <c r="B1059" s="54">
        <v>2609.5500000000002</v>
      </c>
      <c r="C1059" s="54">
        <v>24320.55</v>
      </c>
      <c r="D1059" s="54">
        <f t="shared" si="48"/>
        <v>-3.4740584455418399E-3</v>
      </c>
      <c r="E1059" s="54">
        <f t="shared" si="49"/>
        <v>4.621191209858602E-3</v>
      </c>
      <c r="F1059" s="55">
        <f t="shared" si="50"/>
        <v>2024</v>
      </c>
    </row>
    <row r="1060" spans="1:6" x14ac:dyDescent="0.35">
      <c r="A1060" s="69">
        <v>45482</v>
      </c>
      <c r="B1060" s="54">
        <v>2600.5</v>
      </c>
      <c r="C1060" s="54">
        <v>24433.200000000001</v>
      </c>
      <c r="D1060" s="54">
        <f t="shared" si="48"/>
        <v>-1.9610375060655275E-2</v>
      </c>
      <c r="E1060" s="54">
        <f t="shared" si="49"/>
        <v>-4.4608458502798307E-3</v>
      </c>
      <c r="F1060" s="55">
        <f t="shared" si="50"/>
        <v>2024</v>
      </c>
    </row>
    <row r="1061" spans="1:6" x14ac:dyDescent="0.35">
      <c r="A1061" s="69">
        <v>45483</v>
      </c>
      <c r="B1061" s="54">
        <v>2550</v>
      </c>
      <c r="C1061" s="54">
        <v>24324.45</v>
      </c>
      <c r="D1061" s="54">
        <f t="shared" si="48"/>
        <v>4.0310799552176575E-3</v>
      </c>
      <c r="E1061" s="54">
        <f t="shared" si="49"/>
        <v>-3.4950370829703764E-4</v>
      </c>
      <c r="F1061" s="55">
        <f t="shared" si="50"/>
        <v>2024</v>
      </c>
    </row>
    <row r="1062" spans="1:6" x14ac:dyDescent="0.35">
      <c r="A1062" s="69">
        <v>45484</v>
      </c>
      <c r="B1062" s="54">
        <v>2560.3000000000002</v>
      </c>
      <c r="C1062" s="54">
        <v>24315.95</v>
      </c>
      <c r="D1062" s="54">
        <f t="shared" si="48"/>
        <v>4.9676943684377438E-2</v>
      </c>
      <c r="E1062" s="54">
        <f t="shared" si="49"/>
        <v>7.6283551773595644E-3</v>
      </c>
      <c r="F1062" s="55">
        <f t="shared" si="50"/>
        <v>2024</v>
      </c>
    </row>
    <row r="1063" spans="1:6" x14ac:dyDescent="0.35">
      <c r="A1063" s="69">
        <v>45485</v>
      </c>
      <c r="B1063" s="54">
        <v>2690.7</v>
      </c>
      <c r="C1063" s="54">
        <v>24502.15</v>
      </c>
      <c r="D1063" s="54">
        <f t="shared" si="48"/>
        <v>1.7006241216280967E-2</v>
      </c>
      <c r="E1063" s="54">
        <f t="shared" si="49"/>
        <v>3.4447775252144188E-3</v>
      </c>
      <c r="F1063" s="55">
        <f t="shared" si="50"/>
        <v>2024</v>
      </c>
    </row>
    <row r="1064" spans="1:6" x14ac:dyDescent="0.35">
      <c r="A1064" s="69">
        <v>45488</v>
      </c>
      <c r="B1064" s="54">
        <v>2736.85</v>
      </c>
      <c r="C1064" s="54">
        <v>24586.7</v>
      </c>
      <c r="D1064" s="54">
        <f t="shared" si="48"/>
        <v>2.2615345288900007E-2</v>
      </c>
      <c r="E1064" s="54">
        <f t="shared" si="49"/>
        <v>1.0691123118667994E-3</v>
      </c>
      <c r="F1064" s="55">
        <f t="shared" si="50"/>
        <v>2024</v>
      </c>
    </row>
    <row r="1065" spans="1:6" x14ac:dyDescent="0.35">
      <c r="A1065" s="69">
        <v>45489</v>
      </c>
      <c r="B1065" s="54">
        <v>2799.45</v>
      </c>
      <c r="C1065" s="54">
        <v>24613</v>
      </c>
      <c r="D1065" s="54">
        <f t="shared" si="48"/>
        <v>1.2001493315809625E-2</v>
      </c>
      <c r="E1065" s="54">
        <f t="shared" si="49"/>
        <v>7.6031681375885599E-3</v>
      </c>
      <c r="F1065" s="55">
        <f t="shared" si="50"/>
        <v>2024</v>
      </c>
    </row>
    <row r="1066" spans="1:6" x14ac:dyDescent="0.35">
      <c r="A1066" s="69">
        <v>45491</v>
      </c>
      <c r="B1066" s="54">
        <v>2833.25</v>
      </c>
      <c r="C1066" s="54">
        <v>24800.85</v>
      </c>
      <c r="D1066" s="54">
        <f t="shared" si="48"/>
        <v>1.4123736566162009E-2</v>
      </c>
      <c r="E1066" s="54">
        <f t="shared" si="49"/>
        <v>-1.0944379412161618E-2</v>
      </c>
      <c r="F1066" s="55">
        <f t="shared" si="50"/>
        <v>2024</v>
      </c>
    </row>
    <row r="1067" spans="1:6" x14ac:dyDescent="0.35">
      <c r="A1067" s="69">
        <v>45492</v>
      </c>
      <c r="B1067" s="54">
        <v>2873.55</v>
      </c>
      <c r="C1067" s="54">
        <v>24530.9</v>
      </c>
      <c r="D1067" s="54">
        <f t="shared" si="48"/>
        <v>1.8002658875655893E-2</v>
      </c>
      <c r="E1067" s="54">
        <f t="shared" si="49"/>
        <v>-8.8295004833916055E-4</v>
      </c>
      <c r="F1067" s="55">
        <f t="shared" si="50"/>
        <v>2024</v>
      </c>
    </row>
    <row r="1068" spans="1:6" x14ac:dyDescent="0.35">
      <c r="A1068" s="69">
        <v>45495</v>
      </c>
      <c r="B1068" s="54">
        <v>2925.75</v>
      </c>
      <c r="C1068" s="54">
        <v>24509.25</v>
      </c>
      <c r="D1068" s="54">
        <f t="shared" si="48"/>
        <v>3.8888653625702447E-3</v>
      </c>
      <c r="E1068" s="54">
        <f t="shared" si="49"/>
        <v>-1.2329476150728363E-3</v>
      </c>
      <c r="F1068" s="55">
        <f t="shared" si="50"/>
        <v>2024</v>
      </c>
    </row>
    <row r="1069" spans="1:6" x14ac:dyDescent="0.35">
      <c r="A1069" s="69">
        <v>45496</v>
      </c>
      <c r="B1069" s="54">
        <v>2937.15</v>
      </c>
      <c r="C1069" s="54">
        <v>24479.05</v>
      </c>
      <c r="D1069" s="54">
        <f t="shared" si="48"/>
        <v>-2.3179959837994146E-2</v>
      </c>
      <c r="E1069" s="54">
        <f t="shared" si="49"/>
        <v>-2.6813917161045081E-3</v>
      </c>
      <c r="F1069" s="55">
        <f t="shared" si="50"/>
        <v>2024</v>
      </c>
    </row>
    <row r="1070" spans="1:6" x14ac:dyDescent="0.35">
      <c r="A1070" s="69">
        <v>45497</v>
      </c>
      <c r="B1070" s="54">
        <v>2869.85</v>
      </c>
      <c r="C1070" s="54">
        <v>24413.5</v>
      </c>
      <c r="D1070" s="54">
        <f t="shared" si="48"/>
        <v>-8.8373034433240367E-3</v>
      </c>
      <c r="E1070" s="54">
        <f t="shared" si="49"/>
        <v>-3.0315693109630526E-4</v>
      </c>
      <c r="F1070" s="55">
        <f t="shared" si="50"/>
        <v>2024</v>
      </c>
    </row>
    <row r="1071" spans="1:6" x14ac:dyDescent="0.35">
      <c r="A1071" s="69">
        <v>45498</v>
      </c>
      <c r="B1071" s="54">
        <v>2844.6</v>
      </c>
      <c r="C1071" s="54">
        <v>24406.1</v>
      </c>
      <c r="D1071" s="54">
        <f t="shared" si="48"/>
        <v>6.3074150588095595E-2</v>
      </c>
      <c r="E1071" s="54">
        <f t="shared" si="49"/>
        <v>1.7414807623613839E-2</v>
      </c>
      <c r="F1071" s="55">
        <f t="shared" si="50"/>
        <v>2024</v>
      </c>
    </row>
    <row r="1072" spans="1:6" x14ac:dyDescent="0.35">
      <c r="A1072" s="69">
        <v>45499</v>
      </c>
      <c r="B1072" s="54">
        <v>3029.8</v>
      </c>
      <c r="C1072" s="54">
        <v>24834.85</v>
      </c>
      <c r="D1072" s="54">
        <f t="shared" si="48"/>
        <v>-3.2948261672528185E-2</v>
      </c>
      <c r="E1072" s="54">
        <f t="shared" si="49"/>
        <v>5.0331229834195685E-5</v>
      </c>
      <c r="F1072" s="55">
        <f t="shared" si="50"/>
        <v>2024</v>
      </c>
    </row>
    <row r="1073" spans="1:6" x14ac:dyDescent="0.35">
      <c r="A1073" s="69">
        <v>45502</v>
      </c>
      <c r="B1073" s="54">
        <v>2931.6</v>
      </c>
      <c r="C1073" s="54">
        <v>24836.1</v>
      </c>
      <c r="D1073" s="54">
        <f t="shared" si="48"/>
        <v>-5.6613767555453399E-3</v>
      </c>
      <c r="E1073" s="54">
        <f t="shared" si="49"/>
        <v>8.5323207050211575E-4</v>
      </c>
      <c r="F1073" s="55">
        <f t="shared" si="50"/>
        <v>2024</v>
      </c>
    </row>
    <row r="1074" spans="1:6" x14ac:dyDescent="0.35">
      <c r="A1074" s="69">
        <v>45503</v>
      </c>
      <c r="B1074" s="54">
        <v>2915.05</v>
      </c>
      <c r="C1074" s="54">
        <v>24857.3</v>
      </c>
      <c r="D1074" s="54">
        <f t="shared" si="48"/>
        <v>-7.7657922283180959E-3</v>
      </c>
      <c r="E1074" s="54">
        <f t="shared" si="49"/>
        <v>3.7684413413710642E-3</v>
      </c>
      <c r="F1074" s="55">
        <f t="shared" si="50"/>
        <v>2024</v>
      </c>
    </row>
    <row r="1075" spans="1:6" x14ac:dyDescent="0.35">
      <c r="A1075" s="69">
        <v>45504</v>
      </c>
      <c r="B1075" s="54">
        <v>2892.5</v>
      </c>
      <c r="C1075" s="54">
        <v>24951.15</v>
      </c>
      <c r="D1075" s="54">
        <f t="shared" si="48"/>
        <v>-1.3049336977721098E-2</v>
      </c>
      <c r="E1075" s="54">
        <f t="shared" si="49"/>
        <v>2.3918165281347566E-3</v>
      </c>
      <c r="F1075" s="55">
        <f t="shared" si="50"/>
        <v>2024</v>
      </c>
    </row>
    <row r="1076" spans="1:6" x14ac:dyDescent="0.35">
      <c r="A1076" s="69">
        <v>45505</v>
      </c>
      <c r="B1076" s="54">
        <v>2855</v>
      </c>
      <c r="C1076" s="54">
        <v>25010.9</v>
      </c>
      <c r="D1076" s="54">
        <f t="shared" si="48"/>
        <v>-2.8312993644727884E-2</v>
      </c>
      <c r="E1076" s="54">
        <f t="shared" si="49"/>
        <v>-1.179214365820847E-2</v>
      </c>
      <c r="F1076" s="55">
        <f t="shared" si="50"/>
        <v>2024</v>
      </c>
    </row>
    <row r="1077" spans="1:6" x14ac:dyDescent="0.35">
      <c r="A1077" s="69">
        <v>45506</v>
      </c>
      <c r="B1077" s="54">
        <v>2775.3</v>
      </c>
      <c r="C1077" s="54">
        <v>24717.7</v>
      </c>
      <c r="D1077" s="54">
        <f t="shared" si="48"/>
        <v>-4.5350513106001751E-2</v>
      </c>
      <c r="E1077" s="54">
        <f t="shared" si="49"/>
        <v>-2.7151768509934573E-2</v>
      </c>
      <c r="F1077" s="55">
        <f t="shared" si="50"/>
        <v>2024</v>
      </c>
    </row>
    <row r="1078" spans="1:6" x14ac:dyDescent="0.35">
      <c r="A1078" s="69">
        <v>45509</v>
      </c>
      <c r="B1078" s="54">
        <v>2652.25</v>
      </c>
      <c r="C1078" s="54">
        <v>24055.599999999999</v>
      </c>
      <c r="D1078" s="54">
        <f t="shared" si="48"/>
        <v>-4.9893324448701147E-3</v>
      </c>
      <c r="E1078" s="54">
        <f t="shared" si="49"/>
        <v>-2.6244521876233645E-3</v>
      </c>
      <c r="F1078" s="55">
        <f t="shared" si="50"/>
        <v>2024</v>
      </c>
    </row>
    <row r="1079" spans="1:6" x14ac:dyDescent="0.35">
      <c r="A1079" s="69">
        <v>45510</v>
      </c>
      <c r="B1079" s="54">
        <v>2639.05</v>
      </c>
      <c r="C1079" s="54">
        <v>23992.55</v>
      </c>
      <c r="D1079" s="54">
        <f t="shared" si="48"/>
        <v>3.2416329361967179E-2</v>
      </c>
      <c r="E1079" s="54">
        <f t="shared" si="49"/>
        <v>1.2630098903435905E-2</v>
      </c>
      <c r="F1079" s="55">
        <f t="shared" si="50"/>
        <v>2024</v>
      </c>
    </row>
    <row r="1080" spans="1:6" x14ac:dyDescent="0.35">
      <c r="A1080" s="69">
        <v>45511</v>
      </c>
      <c r="B1080" s="54">
        <v>2726</v>
      </c>
      <c r="C1080" s="54">
        <v>24297.5</v>
      </c>
      <c r="D1080" s="54">
        <f t="shared" si="48"/>
        <v>-2.9975249912291523E-2</v>
      </c>
      <c r="E1080" s="54">
        <f t="shared" si="49"/>
        <v>-7.4564783815551433E-3</v>
      </c>
      <c r="F1080" s="55">
        <f t="shared" si="50"/>
        <v>2024</v>
      </c>
    </row>
    <row r="1081" spans="1:6" x14ac:dyDescent="0.35">
      <c r="A1081" s="69">
        <v>45512</v>
      </c>
      <c r="B1081" s="54">
        <v>2645.5</v>
      </c>
      <c r="C1081" s="54">
        <v>24117</v>
      </c>
      <c r="D1081" s="54">
        <f t="shared" si="48"/>
        <v>2.7955603581793685E-2</v>
      </c>
      <c r="E1081" s="54">
        <f t="shared" si="49"/>
        <v>1.0333291215294636E-2</v>
      </c>
      <c r="F1081" s="55">
        <f t="shared" si="50"/>
        <v>2024</v>
      </c>
    </row>
    <row r="1082" spans="1:6" x14ac:dyDescent="0.35">
      <c r="A1082" s="69">
        <v>45513</v>
      </c>
      <c r="B1082" s="54">
        <v>2720.5</v>
      </c>
      <c r="C1082" s="54">
        <v>24367.5</v>
      </c>
      <c r="D1082" s="54">
        <f t="shared" si="48"/>
        <v>-6.4904162643463024E-3</v>
      </c>
      <c r="E1082" s="54">
        <f t="shared" si="49"/>
        <v>-8.4163857619835045E-4</v>
      </c>
      <c r="F1082" s="55">
        <f t="shared" si="50"/>
        <v>2024</v>
      </c>
    </row>
    <row r="1083" spans="1:6" x14ac:dyDescent="0.35">
      <c r="A1083" s="69">
        <v>45516</v>
      </c>
      <c r="B1083" s="54">
        <v>2702.9</v>
      </c>
      <c r="C1083" s="54">
        <v>24347</v>
      </c>
      <c r="D1083" s="54">
        <f t="shared" si="48"/>
        <v>-2.3520925010989012E-3</v>
      </c>
      <c r="E1083" s="54">
        <f t="shared" si="49"/>
        <v>-8.5798488623965701E-3</v>
      </c>
      <c r="F1083" s="55">
        <f t="shared" si="50"/>
        <v>2024</v>
      </c>
    </row>
    <row r="1084" spans="1:6" x14ac:dyDescent="0.35">
      <c r="A1084" s="69">
        <v>45517</v>
      </c>
      <c r="B1084" s="54">
        <v>2696.55</v>
      </c>
      <c r="C1084" s="54">
        <v>24139</v>
      </c>
      <c r="D1084" s="54">
        <f t="shared" si="48"/>
        <v>8.23581860922795E-3</v>
      </c>
      <c r="E1084" s="54">
        <f t="shared" si="49"/>
        <v>1.967576418212346E-4</v>
      </c>
      <c r="F1084" s="55">
        <f t="shared" si="50"/>
        <v>2024</v>
      </c>
    </row>
    <row r="1085" spans="1:6" x14ac:dyDescent="0.35">
      <c r="A1085" s="69">
        <v>45518</v>
      </c>
      <c r="B1085" s="54">
        <v>2718.85</v>
      </c>
      <c r="C1085" s="54">
        <v>24143.75</v>
      </c>
      <c r="D1085" s="54">
        <f t="shared" si="48"/>
        <v>6.8270491600247035E-2</v>
      </c>
      <c r="E1085" s="54">
        <f t="shared" si="49"/>
        <v>1.6325753017997963E-2</v>
      </c>
      <c r="F1085" s="55">
        <f t="shared" si="50"/>
        <v>2024</v>
      </c>
    </row>
    <row r="1086" spans="1:6" x14ac:dyDescent="0.35">
      <c r="A1086" s="69">
        <v>45520</v>
      </c>
      <c r="B1086" s="54">
        <v>2910.95</v>
      </c>
      <c r="C1086" s="54">
        <v>24541.15</v>
      </c>
      <c r="D1086" s="54">
        <f t="shared" si="48"/>
        <v>2.2671702048616228E-2</v>
      </c>
      <c r="E1086" s="54">
        <f t="shared" si="49"/>
        <v>1.2827353745464452E-3</v>
      </c>
      <c r="F1086" s="55">
        <f t="shared" si="50"/>
        <v>2024</v>
      </c>
    </row>
    <row r="1087" spans="1:6" x14ac:dyDescent="0.35">
      <c r="A1087" s="69">
        <v>45523</v>
      </c>
      <c r="B1087" s="54">
        <v>2977.7</v>
      </c>
      <c r="C1087" s="54">
        <v>24572.65</v>
      </c>
      <c r="D1087" s="54">
        <f t="shared" si="48"/>
        <v>1.0439990257140272E-2</v>
      </c>
      <c r="E1087" s="54">
        <f t="shared" si="49"/>
        <v>5.1226480205889434E-3</v>
      </c>
      <c r="F1087" s="55">
        <f t="shared" si="50"/>
        <v>2024</v>
      </c>
    </row>
    <row r="1088" spans="1:6" x14ac:dyDescent="0.35">
      <c r="A1088" s="69">
        <v>45524</v>
      </c>
      <c r="B1088" s="54">
        <v>3008.95</v>
      </c>
      <c r="C1088" s="54">
        <v>24698.85</v>
      </c>
      <c r="D1088" s="54">
        <f t="shared" si="48"/>
        <v>9.2625416190455761E-3</v>
      </c>
      <c r="E1088" s="54">
        <f t="shared" si="49"/>
        <v>2.8846339064908873E-3</v>
      </c>
      <c r="F1088" s="55">
        <f t="shared" si="50"/>
        <v>2024</v>
      </c>
    </row>
    <row r="1089" spans="1:6" x14ac:dyDescent="0.35">
      <c r="A1089" s="69">
        <v>45525</v>
      </c>
      <c r="B1089" s="54">
        <v>3036.95</v>
      </c>
      <c r="C1089" s="54">
        <v>24770.2</v>
      </c>
      <c r="D1089" s="54">
        <f t="shared" si="48"/>
        <v>9.4058963695994469E-3</v>
      </c>
      <c r="E1089" s="54">
        <f t="shared" si="49"/>
        <v>1.6659376161698191E-3</v>
      </c>
      <c r="F1089" s="55">
        <f t="shared" si="50"/>
        <v>2024</v>
      </c>
    </row>
    <row r="1090" spans="1:6" x14ac:dyDescent="0.35">
      <c r="A1090" s="69">
        <v>45526</v>
      </c>
      <c r="B1090" s="54">
        <v>3065.65</v>
      </c>
      <c r="C1090" s="54">
        <v>24811.5</v>
      </c>
      <c r="D1090" s="54">
        <f t="shared" ref="D1090:D1153" si="51">LN(B1091/B1090)</f>
        <v>-2.2430970313368281E-2</v>
      </c>
      <c r="E1090" s="54">
        <f t="shared" ref="E1090:E1153" si="52">LN(C1091/C1090)</f>
        <v>4.6943013455067465E-4</v>
      </c>
      <c r="F1090" s="55">
        <f t="shared" ref="F1090:F1153" si="53">YEAR(A1090)</f>
        <v>2024</v>
      </c>
    </row>
    <row r="1091" spans="1:6" x14ac:dyDescent="0.35">
      <c r="A1091" s="69">
        <v>45527</v>
      </c>
      <c r="B1091" s="54">
        <v>2997.65</v>
      </c>
      <c r="C1091" s="54">
        <v>24823.15</v>
      </c>
      <c r="D1091" s="54">
        <f t="shared" si="51"/>
        <v>7.3453981343447388E-3</v>
      </c>
      <c r="E1091" s="54">
        <f t="shared" si="52"/>
        <v>7.5230495028018388E-3</v>
      </c>
      <c r="F1091" s="55">
        <f t="shared" si="53"/>
        <v>2024</v>
      </c>
    </row>
    <row r="1092" spans="1:6" x14ac:dyDescent="0.35">
      <c r="A1092" s="69">
        <v>45530</v>
      </c>
      <c r="B1092" s="54">
        <v>3019.75</v>
      </c>
      <c r="C1092" s="54">
        <v>25010.6</v>
      </c>
      <c r="D1092" s="54">
        <f t="shared" si="51"/>
        <v>4.7078344230897327E-3</v>
      </c>
      <c r="E1092" s="54">
        <f t="shared" si="52"/>
        <v>2.8583793184004246E-4</v>
      </c>
      <c r="F1092" s="55">
        <f t="shared" si="53"/>
        <v>2024</v>
      </c>
    </row>
    <row r="1093" spans="1:6" x14ac:dyDescent="0.35">
      <c r="A1093" s="69">
        <v>45531</v>
      </c>
      <c r="B1093" s="54">
        <v>3034</v>
      </c>
      <c r="C1093" s="54">
        <v>25017.75</v>
      </c>
      <c r="D1093" s="54">
        <f t="shared" si="51"/>
        <v>1.8111200613077513E-2</v>
      </c>
      <c r="E1093" s="54">
        <f t="shared" si="52"/>
        <v>1.3820625685767348E-3</v>
      </c>
      <c r="F1093" s="55">
        <f t="shared" si="53"/>
        <v>2024</v>
      </c>
    </row>
    <row r="1094" spans="1:6" x14ac:dyDescent="0.35">
      <c r="A1094" s="69">
        <v>45532</v>
      </c>
      <c r="B1094" s="54">
        <v>3089.45</v>
      </c>
      <c r="C1094" s="54">
        <v>25052.35</v>
      </c>
      <c r="D1094" s="54">
        <f t="shared" si="51"/>
        <v>4.5213143597741352E-3</v>
      </c>
      <c r="E1094" s="54">
        <f t="shared" si="52"/>
        <v>3.9677928253165316E-3</v>
      </c>
      <c r="F1094" s="55">
        <f t="shared" si="53"/>
        <v>2024</v>
      </c>
    </row>
    <row r="1095" spans="1:6" x14ac:dyDescent="0.35">
      <c r="A1095" s="69">
        <v>45533</v>
      </c>
      <c r="B1095" s="54">
        <v>3103.45</v>
      </c>
      <c r="C1095" s="54">
        <v>25151.95</v>
      </c>
      <c r="D1095" s="54">
        <f t="shared" si="51"/>
        <v>4.832162970129454E-4</v>
      </c>
      <c r="E1095" s="54">
        <f t="shared" si="52"/>
        <v>3.332155576256976E-3</v>
      </c>
      <c r="F1095" s="55">
        <f t="shared" si="53"/>
        <v>2024</v>
      </c>
    </row>
    <row r="1096" spans="1:6" x14ac:dyDescent="0.35">
      <c r="A1096" s="69">
        <v>45534</v>
      </c>
      <c r="B1096" s="54">
        <v>3104.95</v>
      </c>
      <c r="C1096" s="54">
        <v>25235.9</v>
      </c>
      <c r="D1096" s="54">
        <f t="shared" si="51"/>
        <v>-7.8937409957984526E-4</v>
      </c>
      <c r="E1096" s="54">
        <f t="shared" si="52"/>
        <v>1.6945599981708784E-3</v>
      </c>
      <c r="F1096" s="55">
        <f t="shared" si="53"/>
        <v>2024</v>
      </c>
    </row>
    <row r="1097" spans="1:6" x14ac:dyDescent="0.35">
      <c r="A1097" s="69">
        <v>45537</v>
      </c>
      <c r="B1097" s="54">
        <v>3102.5</v>
      </c>
      <c r="C1097" s="54">
        <v>25278.7</v>
      </c>
      <c r="D1097" s="54">
        <f t="shared" si="51"/>
        <v>7.3380388202077739E-3</v>
      </c>
      <c r="E1097" s="54">
        <f t="shared" si="52"/>
        <v>4.5491810987265924E-5</v>
      </c>
      <c r="F1097" s="55">
        <f t="shared" si="53"/>
        <v>2024</v>
      </c>
    </row>
    <row r="1098" spans="1:6" x14ac:dyDescent="0.35">
      <c r="A1098" s="69">
        <v>45538</v>
      </c>
      <c r="B1098" s="54">
        <v>3125.35</v>
      </c>
      <c r="C1098" s="54">
        <v>25279.85</v>
      </c>
      <c r="D1098" s="54">
        <f t="shared" si="51"/>
        <v>-1.1795986505401238E-2</v>
      </c>
      <c r="E1098" s="54">
        <f t="shared" si="52"/>
        <v>-3.2152298316295127E-3</v>
      </c>
      <c r="F1098" s="55">
        <f t="shared" si="53"/>
        <v>2024</v>
      </c>
    </row>
    <row r="1099" spans="1:6" x14ac:dyDescent="0.35">
      <c r="A1099" s="69">
        <v>45539</v>
      </c>
      <c r="B1099" s="54">
        <v>3088.7</v>
      </c>
      <c r="C1099" s="54">
        <v>25198.7</v>
      </c>
      <c r="D1099" s="54">
        <f t="shared" si="51"/>
        <v>-3.2381322736154056E-4</v>
      </c>
      <c r="E1099" s="54">
        <f t="shared" si="52"/>
        <v>-2.1293593353156458E-3</v>
      </c>
      <c r="F1099" s="55">
        <f t="shared" si="53"/>
        <v>2024</v>
      </c>
    </row>
    <row r="1100" spans="1:6" x14ac:dyDescent="0.35">
      <c r="A1100" s="69">
        <v>45540</v>
      </c>
      <c r="B1100" s="54">
        <v>3087.7</v>
      </c>
      <c r="C1100" s="54">
        <v>25145.1</v>
      </c>
      <c r="D1100" s="54">
        <f t="shared" si="51"/>
        <v>-1.1793204181657668E-2</v>
      </c>
      <c r="E1100" s="54">
        <f t="shared" si="52"/>
        <v>-1.1718778635040884E-2</v>
      </c>
      <c r="F1100" s="55">
        <f t="shared" si="53"/>
        <v>2024</v>
      </c>
    </row>
    <row r="1101" spans="1:6" x14ac:dyDescent="0.35">
      <c r="A1101" s="69">
        <v>45541</v>
      </c>
      <c r="B1101" s="54">
        <v>3051.5</v>
      </c>
      <c r="C1101" s="54">
        <v>24852.15</v>
      </c>
      <c r="D1101" s="54">
        <f t="shared" si="51"/>
        <v>-1.9123192426173132E-2</v>
      </c>
      <c r="E1101" s="54">
        <f t="shared" si="52"/>
        <v>3.3843154867430215E-3</v>
      </c>
      <c r="F1101" s="55">
        <f t="shared" si="53"/>
        <v>2024</v>
      </c>
    </row>
    <row r="1102" spans="1:6" x14ac:dyDescent="0.35">
      <c r="A1102" s="69">
        <v>45544</v>
      </c>
      <c r="B1102" s="54">
        <v>2993.7</v>
      </c>
      <c r="C1102" s="54">
        <v>24936.400000000001</v>
      </c>
      <c r="D1102" s="54">
        <f t="shared" si="51"/>
        <v>2.8549378106718631E-2</v>
      </c>
      <c r="E1102" s="54">
        <f t="shared" si="52"/>
        <v>4.1898915779699352E-3</v>
      </c>
      <c r="F1102" s="55">
        <f t="shared" si="53"/>
        <v>2024</v>
      </c>
    </row>
    <row r="1103" spans="1:6" x14ac:dyDescent="0.35">
      <c r="A1103" s="69">
        <v>45545</v>
      </c>
      <c r="B1103" s="54">
        <v>3080.4</v>
      </c>
      <c r="C1103" s="54">
        <v>25041.1</v>
      </c>
      <c r="D1103" s="54">
        <f t="shared" si="51"/>
        <v>-4.4900026628061623E-3</v>
      </c>
      <c r="E1103" s="54">
        <f t="shared" si="52"/>
        <v>-4.9099820315822162E-3</v>
      </c>
      <c r="F1103" s="55">
        <f t="shared" si="53"/>
        <v>2024</v>
      </c>
    </row>
    <row r="1104" spans="1:6" x14ac:dyDescent="0.35">
      <c r="A1104" s="69">
        <v>45546</v>
      </c>
      <c r="B1104" s="54">
        <v>3066.6</v>
      </c>
      <c r="C1104" s="54">
        <v>24918.45</v>
      </c>
      <c r="D1104" s="54">
        <f t="shared" si="51"/>
        <v>1.0203425289088802E-2</v>
      </c>
      <c r="E1104" s="54">
        <f t="shared" si="52"/>
        <v>1.8703577686811725E-2</v>
      </c>
      <c r="F1104" s="55">
        <f t="shared" si="53"/>
        <v>2024</v>
      </c>
    </row>
    <row r="1105" spans="1:6" x14ac:dyDescent="0.35">
      <c r="A1105" s="69">
        <v>45547</v>
      </c>
      <c r="B1105" s="54">
        <v>3098.05</v>
      </c>
      <c r="C1105" s="54">
        <v>25388.9</v>
      </c>
      <c r="D1105" s="54">
        <f t="shared" si="51"/>
        <v>1.5406601783344017E-2</v>
      </c>
      <c r="E1105" s="54">
        <f t="shared" si="52"/>
        <v>-1.2769632085949123E-3</v>
      </c>
      <c r="F1105" s="55">
        <f t="shared" si="53"/>
        <v>2024</v>
      </c>
    </row>
    <row r="1106" spans="1:6" x14ac:dyDescent="0.35">
      <c r="A1106" s="69">
        <v>45548</v>
      </c>
      <c r="B1106" s="54">
        <v>3146.15</v>
      </c>
      <c r="C1106" s="54">
        <v>25356.5</v>
      </c>
      <c r="D1106" s="54">
        <f t="shared" si="51"/>
        <v>-6.5052286996126005E-3</v>
      </c>
      <c r="E1106" s="54">
        <f t="shared" si="52"/>
        <v>1.0740980826790941E-3</v>
      </c>
      <c r="F1106" s="55">
        <f t="shared" si="53"/>
        <v>2024</v>
      </c>
    </row>
    <row r="1107" spans="1:6" x14ac:dyDescent="0.35">
      <c r="A1107" s="69">
        <v>45551</v>
      </c>
      <c r="B1107" s="54">
        <v>3125.75</v>
      </c>
      <c r="C1107" s="54">
        <v>25383.75</v>
      </c>
      <c r="D1107" s="54">
        <f t="shared" si="51"/>
        <v>1.6514879079157697E-2</v>
      </c>
      <c r="E1107" s="54">
        <f t="shared" si="52"/>
        <v>1.3700169261289907E-3</v>
      </c>
      <c r="F1107" s="55">
        <f t="shared" si="53"/>
        <v>2024</v>
      </c>
    </row>
    <row r="1108" spans="1:6" x14ac:dyDescent="0.35">
      <c r="A1108" s="69">
        <v>45552</v>
      </c>
      <c r="B1108" s="54">
        <v>3177.8</v>
      </c>
      <c r="C1108" s="54">
        <v>25418.55</v>
      </c>
      <c r="D1108" s="54">
        <f t="shared" si="51"/>
        <v>-5.6111252642409917E-2</v>
      </c>
      <c r="E1108" s="54">
        <f t="shared" si="52"/>
        <v>-1.6142975111744227E-3</v>
      </c>
      <c r="F1108" s="55">
        <f t="shared" si="53"/>
        <v>2024</v>
      </c>
    </row>
    <row r="1109" spans="1:6" x14ac:dyDescent="0.35">
      <c r="A1109" s="69">
        <v>45553</v>
      </c>
      <c r="B1109" s="54">
        <v>3004.4</v>
      </c>
      <c r="C1109" s="54">
        <v>25377.55</v>
      </c>
      <c r="D1109" s="54">
        <f t="shared" si="51"/>
        <v>-8.7420011323862054E-3</v>
      </c>
      <c r="E1109" s="54">
        <f t="shared" si="52"/>
        <v>1.5061029536485916E-3</v>
      </c>
      <c r="F1109" s="55">
        <f t="shared" si="53"/>
        <v>2024</v>
      </c>
    </row>
    <row r="1110" spans="1:6" x14ac:dyDescent="0.35">
      <c r="A1110" s="69">
        <v>45554</v>
      </c>
      <c r="B1110" s="54">
        <v>2978.25</v>
      </c>
      <c r="C1110" s="54">
        <v>25415.8</v>
      </c>
      <c r="D1110" s="54">
        <f t="shared" si="51"/>
        <v>1.6682037044871978E-2</v>
      </c>
      <c r="E1110" s="54">
        <f t="shared" si="52"/>
        <v>1.4652627320371103E-2</v>
      </c>
      <c r="F1110" s="55">
        <f t="shared" si="53"/>
        <v>2024</v>
      </c>
    </row>
    <row r="1111" spans="1:6" x14ac:dyDescent="0.35">
      <c r="A1111" s="69">
        <v>45555</v>
      </c>
      <c r="B1111" s="54">
        <v>3028.35</v>
      </c>
      <c r="C1111" s="54">
        <v>25790.95</v>
      </c>
      <c r="D1111" s="54">
        <f t="shared" si="51"/>
        <v>4.6287608897074553E-3</v>
      </c>
      <c r="E1111" s="54">
        <f t="shared" si="52"/>
        <v>5.7259000437972149E-3</v>
      </c>
      <c r="F1111" s="55">
        <f t="shared" si="53"/>
        <v>2024</v>
      </c>
    </row>
    <row r="1112" spans="1:6" x14ac:dyDescent="0.35">
      <c r="A1112" s="69">
        <v>45558</v>
      </c>
      <c r="B1112" s="54">
        <v>3042.4</v>
      </c>
      <c r="C1112" s="54">
        <v>25939.05</v>
      </c>
      <c r="D1112" s="54">
        <f t="shared" si="51"/>
        <v>9.7309645864588745E-3</v>
      </c>
      <c r="E1112" s="54">
        <f t="shared" si="52"/>
        <v>5.2043728308821627E-5</v>
      </c>
      <c r="F1112" s="55">
        <f t="shared" si="53"/>
        <v>2024</v>
      </c>
    </row>
    <row r="1113" spans="1:6" x14ac:dyDescent="0.35">
      <c r="A1113" s="69">
        <v>45559</v>
      </c>
      <c r="B1113" s="54">
        <v>3072.15</v>
      </c>
      <c r="C1113" s="54">
        <v>25940.400000000001</v>
      </c>
      <c r="D1113" s="54">
        <f t="shared" si="51"/>
        <v>-1.7617622964027913E-2</v>
      </c>
      <c r="E1113" s="54">
        <f t="shared" si="52"/>
        <v>2.4545416990469533E-3</v>
      </c>
      <c r="F1113" s="55">
        <f t="shared" si="53"/>
        <v>2024</v>
      </c>
    </row>
    <row r="1114" spans="1:6" x14ac:dyDescent="0.35">
      <c r="A1114" s="69">
        <v>45560</v>
      </c>
      <c r="B1114" s="54">
        <v>3018.5</v>
      </c>
      <c r="C1114" s="54">
        <v>26004.15</v>
      </c>
      <c r="D1114" s="54">
        <f t="shared" si="51"/>
        <v>1.1593950889923014E-2</v>
      </c>
      <c r="E1114" s="54">
        <f t="shared" si="52"/>
        <v>8.1156779580020509E-3</v>
      </c>
      <c r="F1114" s="55">
        <f t="shared" si="53"/>
        <v>2024</v>
      </c>
    </row>
    <row r="1115" spans="1:6" x14ac:dyDescent="0.35">
      <c r="A1115" s="69">
        <v>45561</v>
      </c>
      <c r="B1115" s="54">
        <v>3053.7</v>
      </c>
      <c r="C1115" s="54">
        <v>26216.05</v>
      </c>
      <c r="D1115" s="54">
        <f t="shared" si="51"/>
        <v>9.4194265862156158E-3</v>
      </c>
      <c r="E1115" s="54">
        <f t="shared" si="52"/>
        <v>-1.4161659013423675E-3</v>
      </c>
      <c r="F1115" s="55">
        <f t="shared" si="53"/>
        <v>2024</v>
      </c>
    </row>
    <row r="1116" spans="1:6" x14ac:dyDescent="0.35">
      <c r="A1116" s="69">
        <v>45562</v>
      </c>
      <c r="B1116" s="54">
        <v>3082.6</v>
      </c>
      <c r="C1116" s="54">
        <v>26178.95</v>
      </c>
      <c r="D1116" s="54">
        <f t="shared" si="51"/>
        <v>-2.3700436433391814E-2</v>
      </c>
      <c r="E1116" s="54">
        <f t="shared" si="52"/>
        <v>-1.4160706565616464E-2</v>
      </c>
      <c r="F1116" s="55">
        <f t="shared" si="53"/>
        <v>2024</v>
      </c>
    </row>
    <row r="1117" spans="1:6" x14ac:dyDescent="0.35">
      <c r="A1117" s="69">
        <v>45565</v>
      </c>
      <c r="B1117" s="54">
        <v>3010.4</v>
      </c>
      <c r="C1117" s="54">
        <v>25810.85</v>
      </c>
      <c r="D1117" s="54">
        <f t="shared" si="51"/>
        <v>1.725855058319156E-3</v>
      </c>
      <c r="E1117" s="54">
        <f t="shared" si="52"/>
        <v>-5.4061649034323775E-4</v>
      </c>
      <c r="F1117" s="55">
        <f t="shared" si="53"/>
        <v>2024</v>
      </c>
    </row>
    <row r="1118" spans="1:6" x14ac:dyDescent="0.35">
      <c r="A1118" s="69">
        <v>45566</v>
      </c>
      <c r="B1118" s="54">
        <v>3015.6</v>
      </c>
      <c r="C1118" s="54">
        <v>25796.9</v>
      </c>
      <c r="D1118" s="54">
        <f t="shared" si="51"/>
        <v>-3.1872791949805766E-2</v>
      </c>
      <c r="E1118" s="54">
        <f t="shared" si="52"/>
        <v>-2.1424213560051142E-2</v>
      </c>
      <c r="F1118" s="55">
        <f t="shared" si="53"/>
        <v>2024</v>
      </c>
    </row>
    <row r="1119" spans="1:6" x14ac:dyDescent="0.35">
      <c r="A1119" s="69">
        <v>45568</v>
      </c>
      <c r="B1119" s="54">
        <v>2921</v>
      </c>
      <c r="C1119" s="54">
        <v>25250.1</v>
      </c>
      <c r="D1119" s="54">
        <f t="shared" si="51"/>
        <v>-2.5800723751216E-2</v>
      </c>
      <c r="E1119" s="54">
        <f t="shared" si="52"/>
        <v>-9.3704617030021236E-3</v>
      </c>
      <c r="F1119" s="55">
        <f t="shared" si="53"/>
        <v>2024</v>
      </c>
    </row>
    <row r="1120" spans="1:6" x14ac:dyDescent="0.35">
      <c r="A1120" s="69">
        <v>45569</v>
      </c>
      <c r="B1120" s="54">
        <v>2846.6</v>
      </c>
      <c r="C1120" s="54">
        <v>25014.6</v>
      </c>
      <c r="D1120" s="54">
        <f t="shared" si="51"/>
        <v>9.7360519460890152E-3</v>
      </c>
      <c r="E1120" s="54">
        <f t="shared" si="52"/>
        <v>-8.7873868890513806E-3</v>
      </c>
      <c r="F1120" s="55">
        <f t="shared" si="53"/>
        <v>2024</v>
      </c>
    </row>
    <row r="1121" spans="1:6" x14ac:dyDescent="0.35">
      <c r="A1121" s="69">
        <v>45572</v>
      </c>
      <c r="B1121" s="54">
        <v>2874.45</v>
      </c>
      <c r="C1121" s="54">
        <v>24795.75</v>
      </c>
      <c r="D1121" s="54">
        <f t="shared" si="51"/>
        <v>9.2286238167964569E-3</v>
      </c>
      <c r="E1121" s="54">
        <f t="shared" si="52"/>
        <v>8.7294190611797214E-3</v>
      </c>
      <c r="F1121" s="55">
        <f t="shared" si="53"/>
        <v>2024</v>
      </c>
    </row>
    <row r="1122" spans="1:6" x14ac:dyDescent="0.35">
      <c r="A1122" s="69">
        <v>45573</v>
      </c>
      <c r="B1122" s="54">
        <v>2901.1</v>
      </c>
      <c r="C1122" s="54">
        <v>25013.15</v>
      </c>
      <c r="D1122" s="54">
        <f t="shared" si="51"/>
        <v>-6.7238483633167822E-4</v>
      </c>
      <c r="E1122" s="54">
        <f t="shared" si="52"/>
        <v>-1.2481224780150524E-3</v>
      </c>
      <c r="F1122" s="55">
        <f t="shared" si="53"/>
        <v>2024</v>
      </c>
    </row>
    <row r="1123" spans="1:6" x14ac:dyDescent="0.35">
      <c r="A1123" s="69">
        <v>45574</v>
      </c>
      <c r="B1123" s="54">
        <v>2899.15</v>
      </c>
      <c r="C1123" s="54">
        <v>24981.95</v>
      </c>
      <c r="D1123" s="54">
        <f t="shared" si="51"/>
        <v>-1.5678552408559081E-2</v>
      </c>
      <c r="E1123" s="54">
        <f t="shared" si="52"/>
        <v>6.6025884544412166E-4</v>
      </c>
      <c r="F1123" s="55">
        <f t="shared" si="53"/>
        <v>2024</v>
      </c>
    </row>
    <row r="1124" spans="1:6" x14ac:dyDescent="0.35">
      <c r="A1124" s="69">
        <v>45575</v>
      </c>
      <c r="B1124" s="54">
        <v>2854.05</v>
      </c>
      <c r="C1124" s="54">
        <v>24998.45</v>
      </c>
      <c r="D1124" s="54">
        <f t="shared" si="51"/>
        <v>7.783091083075456E-3</v>
      </c>
      <c r="E1124" s="54">
        <f t="shared" si="52"/>
        <v>-1.3690215037028451E-3</v>
      </c>
      <c r="F1124" s="55">
        <f t="shared" si="53"/>
        <v>2024</v>
      </c>
    </row>
    <row r="1125" spans="1:6" x14ac:dyDescent="0.35">
      <c r="A1125" s="69">
        <v>45576</v>
      </c>
      <c r="B1125" s="54">
        <v>2876.35</v>
      </c>
      <c r="C1125" s="54">
        <v>24964.25</v>
      </c>
      <c r="D1125" s="54">
        <f t="shared" si="51"/>
        <v>2.9545131910356754E-2</v>
      </c>
      <c r="E1125" s="54">
        <f t="shared" si="52"/>
        <v>6.5359709797854493E-3</v>
      </c>
      <c r="F1125" s="55">
        <f t="shared" si="53"/>
        <v>2024</v>
      </c>
    </row>
    <row r="1126" spans="1:6" x14ac:dyDescent="0.35">
      <c r="A1126" s="69">
        <v>45579</v>
      </c>
      <c r="B1126" s="54">
        <v>2962.6</v>
      </c>
      <c r="C1126" s="54">
        <v>25127.95</v>
      </c>
      <c r="D1126" s="54">
        <f t="shared" si="51"/>
        <v>-1.113309985228208E-2</v>
      </c>
      <c r="E1126" s="54">
        <f t="shared" si="52"/>
        <v>-2.8135747549046168E-3</v>
      </c>
      <c r="F1126" s="55">
        <f t="shared" si="53"/>
        <v>2024</v>
      </c>
    </row>
    <row r="1127" spans="1:6" x14ac:dyDescent="0.35">
      <c r="A1127" s="69">
        <v>45580</v>
      </c>
      <c r="B1127" s="54">
        <v>2929.8</v>
      </c>
      <c r="C1127" s="54">
        <v>25057.35</v>
      </c>
      <c r="D1127" s="54">
        <f t="shared" si="51"/>
        <v>-6.3172701808238687E-3</v>
      </c>
      <c r="E1127" s="54">
        <f t="shared" si="52"/>
        <v>-3.4400322558512829E-3</v>
      </c>
      <c r="F1127" s="55">
        <f t="shared" si="53"/>
        <v>2024</v>
      </c>
    </row>
    <row r="1128" spans="1:6" x14ac:dyDescent="0.35">
      <c r="A1128" s="69">
        <v>45581</v>
      </c>
      <c r="B1128" s="54">
        <v>2911.35</v>
      </c>
      <c r="C1128" s="54">
        <v>24971.3</v>
      </c>
      <c r="D1128" s="54">
        <f t="shared" si="51"/>
        <v>5.6377638809519313E-2</v>
      </c>
      <c r="E1128" s="54">
        <f t="shared" si="52"/>
        <v>-8.9077370211750866E-3</v>
      </c>
      <c r="F1128" s="55">
        <f t="shared" si="53"/>
        <v>2024</v>
      </c>
    </row>
    <row r="1129" spans="1:6" x14ac:dyDescent="0.35">
      <c r="A1129" s="69">
        <v>45582</v>
      </c>
      <c r="B1129" s="54">
        <v>3080.2</v>
      </c>
      <c r="C1129" s="54">
        <v>24749.85</v>
      </c>
      <c r="D1129" s="54">
        <f t="shared" si="51"/>
        <v>5.0356731708429171E-3</v>
      </c>
      <c r="E1129" s="54">
        <f t="shared" si="52"/>
        <v>4.2012887401181526E-3</v>
      </c>
      <c r="F1129" s="55">
        <f t="shared" si="53"/>
        <v>2024</v>
      </c>
    </row>
    <row r="1130" spans="1:6" x14ac:dyDescent="0.35">
      <c r="A1130" s="69">
        <v>45583</v>
      </c>
      <c r="B1130" s="54">
        <v>3095.75</v>
      </c>
      <c r="C1130" s="54">
        <v>24854.05</v>
      </c>
      <c r="D1130" s="54">
        <f t="shared" si="51"/>
        <v>-3.6262966108160863E-2</v>
      </c>
      <c r="E1130" s="54">
        <f t="shared" si="52"/>
        <v>-2.9394512770190822E-3</v>
      </c>
      <c r="F1130" s="55">
        <f t="shared" si="53"/>
        <v>2024</v>
      </c>
    </row>
    <row r="1131" spans="1:6" x14ac:dyDescent="0.35">
      <c r="A1131" s="69">
        <v>45586</v>
      </c>
      <c r="B1131" s="54">
        <v>2985.5</v>
      </c>
      <c r="C1131" s="54">
        <v>24781.1</v>
      </c>
      <c r="D1131" s="54">
        <f t="shared" si="51"/>
        <v>-2.6328381927592385E-3</v>
      </c>
      <c r="E1131" s="54">
        <f t="shared" si="52"/>
        <v>-1.2547572710405439E-2</v>
      </c>
      <c r="F1131" s="55">
        <f t="shared" si="53"/>
        <v>2024</v>
      </c>
    </row>
    <row r="1132" spans="1:6" x14ac:dyDescent="0.35">
      <c r="A1132" s="69">
        <v>45587</v>
      </c>
      <c r="B1132" s="54">
        <v>2977.65</v>
      </c>
      <c r="C1132" s="54">
        <v>24472.1</v>
      </c>
      <c r="D1132" s="54">
        <f t="shared" si="51"/>
        <v>4.6650524930430808E-2</v>
      </c>
      <c r="E1132" s="54">
        <f t="shared" si="52"/>
        <v>-1.4967001787999864E-3</v>
      </c>
      <c r="F1132" s="55">
        <f t="shared" si="53"/>
        <v>2024</v>
      </c>
    </row>
    <row r="1133" spans="1:6" x14ac:dyDescent="0.35">
      <c r="A1133" s="69">
        <v>45588</v>
      </c>
      <c r="B1133" s="54">
        <v>3119.85</v>
      </c>
      <c r="C1133" s="54">
        <v>24435.5</v>
      </c>
      <c r="D1133" s="54">
        <f t="shared" si="51"/>
        <v>-6.7861193753185238E-3</v>
      </c>
      <c r="E1133" s="54">
        <f t="shared" si="52"/>
        <v>-1.4784511312879243E-3</v>
      </c>
      <c r="F1133" s="55">
        <f t="shared" si="53"/>
        <v>2024</v>
      </c>
    </row>
    <row r="1134" spans="1:6" x14ac:dyDescent="0.35">
      <c r="A1134" s="69">
        <v>45589</v>
      </c>
      <c r="B1134" s="54">
        <v>3098.75</v>
      </c>
      <c r="C1134" s="54">
        <v>24399.4</v>
      </c>
      <c r="D1134" s="54">
        <f t="shared" si="51"/>
        <v>-1.879595384732146E-2</v>
      </c>
      <c r="E1134" s="54">
        <f t="shared" si="52"/>
        <v>-8.999611999159645E-3</v>
      </c>
      <c r="F1134" s="55">
        <f t="shared" si="53"/>
        <v>2024</v>
      </c>
    </row>
    <row r="1135" spans="1:6" x14ac:dyDescent="0.35">
      <c r="A1135" s="69">
        <v>45590</v>
      </c>
      <c r="B1135" s="54">
        <v>3041.05</v>
      </c>
      <c r="C1135" s="54">
        <v>24180.799999999999</v>
      </c>
      <c r="D1135" s="54">
        <f t="shared" si="51"/>
        <v>-9.3163758792266897E-3</v>
      </c>
      <c r="E1135" s="54">
        <f t="shared" si="52"/>
        <v>6.5272351766822402E-3</v>
      </c>
      <c r="F1135" s="55">
        <f t="shared" si="53"/>
        <v>2024</v>
      </c>
    </row>
    <row r="1136" spans="1:6" x14ac:dyDescent="0.35">
      <c r="A1136" s="69">
        <v>45593</v>
      </c>
      <c r="B1136" s="54">
        <v>3012.85</v>
      </c>
      <c r="C1136" s="54">
        <v>24339.15</v>
      </c>
      <c r="D1136" s="54">
        <f t="shared" si="51"/>
        <v>3.1978288660956208E-3</v>
      </c>
      <c r="E1136" s="54">
        <f t="shared" si="52"/>
        <v>5.2329751018960107E-3</v>
      </c>
      <c r="F1136" s="55">
        <f t="shared" si="53"/>
        <v>2024</v>
      </c>
    </row>
    <row r="1137" spans="1:6" x14ac:dyDescent="0.35">
      <c r="A1137" s="69">
        <v>45594</v>
      </c>
      <c r="B1137" s="54">
        <v>3022.5</v>
      </c>
      <c r="C1137" s="54">
        <v>24466.85</v>
      </c>
      <c r="D1137" s="54">
        <f t="shared" si="51"/>
        <v>-5.1413995004186523E-3</v>
      </c>
      <c r="E1137" s="54">
        <f t="shared" si="52"/>
        <v>-5.1631312234782087E-3</v>
      </c>
      <c r="F1137" s="55">
        <f t="shared" si="53"/>
        <v>2024</v>
      </c>
    </row>
    <row r="1138" spans="1:6" x14ac:dyDescent="0.35">
      <c r="A1138" s="69">
        <v>45595</v>
      </c>
      <c r="B1138" s="54">
        <v>3007</v>
      </c>
      <c r="C1138" s="54">
        <v>24340.85</v>
      </c>
      <c r="D1138" s="54">
        <f t="shared" si="51"/>
        <v>-4.3308872066840372E-2</v>
      </c>
      <c r="E1138" s="54">
        <f t="shared" si="52"/>
        <v>-5.582325779352925E-3</v>
      </c>
      <c r="F1138" s="55">
        <f t="shared" si="53"/>
        <v>2024</v>
      </c>
    </row>
    <row r="1139" spans="1:6" x14ac:dyDescent="0.35">
      <c r="A1139" s="69">
        <v>45596</v>
      </c>
      <c r="B1139" s="54">
        <v>2879.55</v>
      </c>
      <c r="C1139" s="54">
        <v>24205.35</v>
      </c>
      <c r="D1139" s="54">
        <f t="shared" si="51"/>
        <v>5.0574263018003194E-3</v>
      </c>
      <c r="E1139" s="54">
        <f t="shared" si="52"/>
        <v>4.0816635619174632E-3</v>
      </c>
      <c r="F1139" s="55">
        <f t="shared" si="53"/>
        <v>2024</v>
      </c>
    </row>
    <row r="1140" spans="1:6" x14ac:dyDescent="0.35">
      <c r="A1140" s="69">
        <v>45597</v>
      </c>
      <c r="B1140" s="54">
        <v>2894.15</v>
      </c>
      <c r="C1140" s="54">
        <v>24304.35</v>
      </c>
      <c r="D1140" s="54">
        <f t="shared" si="51"/>
        <v>-8.3271650272173942E-3</v>
      </c>
      <c r="E1140" s="54">
        <f t="shared" si="52"/>
        <v>-1.2795285095394087E-2</v>
      </c>
      <c r="F1140" s="55">
        <f t="shared" si="53"/>
        <v>2024</v>
      </c>
    </row>
    <row r="1141" spans="1:6" x14ac:dyDescent="0.35">
      <c r="A1141" s="69">
        <v>45600</v>
      </c>
      <c r="B1141" s="54">
        <v>2870.15</v>
      </c>
      <c r="C1141" s="54">
        <v>23995.35</v>
      </c>
      <c r="D1141" s="54">
        <f t="shared" si="51"/>
        <v>-4.3471877254857129E-3</v>
      </c>
      <c r="E1141" s="54">
        <f t="shared" si="52"/>
        <v>9.0420073960085362E-3</v>
      </c>
      <c r="F1141" s="55">
        <f t="shared" si="53"/>
        <v>2024</v>
      </c>
    </row>
    <row r="1142" spans="1:6" x14ac:dyDescent="0.35">
      <c r="A1142" s="69">
        <v>45601</v>
      </c>
      <c r="B1142" s="54">
        <v>2857.7</v>
      </c>
      <c r="C1142" s="54">
        <v>24213.3</v>
      </c>
      <c r="D1142" s="54">
        <f t="shared" si="51"/>
        <v>1.3451481043879875E-2</v>
      </c>
      <c r="E1142" s="54">
        <f t="shared" si="52"/>
        <v>1.111981616471547E-2</v>
      </c>
      <c r="F1142" s="55">
        <f t="shared" si="53"/>
        <v>2024</v>
      </c>
    </row>
    <row r="1143" spans="1:6" x14ac:dyDescent="0.35">
      <c r="A1143" s="69">
        <v>45602</v>
      </c>
      <c r="B1143" s="54">
        <v>2896.4</v>
      </c>
      <c r="C1143" s="54">
        <v>24484.05</v>
      </c>
      <c r="D1143" s="54">
        <f t="shared" si="51"/>
        <v>-1.9963874931981034E-2</v>
      </c>
      <c r="E1143" s="54">
        <f t="shared" si="52"/>
        <v>-1.1696111838928169E-2</v>
      </c>
      <c r="F1143" s="55">
        <f t="shared" si="53"/>
        <v>2024</v>
      </c>
    </row>
    <row r="1144" spans="1:6" x14ac:dyDescent="0.35">
      <c r="A1144" s="69">
        <v>45603</v>
      </c>
      <c r="B1144" s="54">
        <v>2839.15</v>
      </c>
      <c r="C1144" s="54">
        <v>24199.35</v>
      </c>
      <c r="D1144" s="54">
        <f t="shared" si="51"/>
        <v>6.7398236701366656E-3</v>
      </c>
      <c r="E1144" s="54">
        <f t="shared" si="52"/>
        <v>-2.115930138503043E-3</v>
      </c>
      <c r="F1144" s="55">
        <f t="shared" si="53"/>
        <v>2024</v>
      </c>
    </row>
    <row r="1145" spans="1:6" x14ac:dyDescent="0.35">
      <c r="A1145" s="69">
        <v>45604</v>
      </c>
      <c r="B1145" s="54">
        <v>2858.35</v>
      </c>
      <c r="C1145" s="54">
        <v>24148.2</v>
      </c>
      <c r="D1145" s="54">
        <f t="shared" si="51"/>
        <v>1.1014275963354934E-3</v>
      </c>
      <c r="E1145" s="54">
        <f t="shared" si="52"/>
        <v>-2.8577641296602358E-4</v>
      </c>
      <c r="F1145" s="55">
        <f t="shared" si="53"/>
        <v>2024</v>
      </c>
    </row>
    <row r="1146" spans="1:6" x14ac:dyDescent="0.35">
      <c r="A1146" s="69">
        <v>45607</v>
      </c>
      <c r="B1146" s="54">
        <v>2861.5</v>
      </c>
      <c r="C1146" s="54">
        <v>24141.3</v>
      </c>
      <c r="D1146" s="54">
        <f t="shared" si="51"/>
        <v>-2.8171743668970271E-3</v>
      </c>
      <c r="E1146" s="54">
        <f t="shared" si="52"/>
        <v>-1.0738316295232621E-2</v>
      </c>
      <c r="F1146" s="55">
        <f t="shared" si="53"/>
        <v>2024</v>
      </c>
    </row>
    <row r="1147" spans="1:6" x14ac:dyDescent="0.35">
      <c r="A1147" s="69">
        <v>45608</v>
      </c>
      <c r="B1147" s="54">
        <v>2853.45</v>
      </c>
      <c r="C1147" s="54">
        <v>23883.45</v>
      </c>
      <c r="D1147" s="54">
        <f t="shared" si="51"/>
        <v>-2.8427056414183334E-3</v>
      </c>
      <c r="E1147" s="54">
        <f t="shared" si="52"/>
        <v>-1.367571506132014E-2</v>
      </c>
      <c r="F1147" s="55">
        <f t="shared" si="53"/>
        <v>2024</v>
      </c>
    </row>
    <row r="1148" spans="1:6" x14ac:dyDescent="0.35">
      <c r="A1148" s="69">
        <v>45609</v>
      </c>
      <c r="B1148" s="54">
        <v>2845.35</v>
      </c>
      <c r="C1148" s="54">
        <v>23559.05</v>
      </c>
      <c r="D1148" s="54">
        <f t="shared" si="51"/>
        <v>-2.1285399397389039E-3</v>
      </c>
      <c r="E1148" s="54">
        <f t="shared" si="52"/>
        <v>-1.1190921021192711E-3</v>
      </c>
      <c r="F1148" s="55">
        <f t="shared" si="53"/>
        <v>2024</v>
      </c>
    </row>
    <row r="1149" spans="1:6" x14ac:dyDescent="0.35">
      <c r="A1149" s="69">
        <v>45610</v>
      </c>
      <c r="B1149" s="54">
        <v>2839.3</v>
      </c>
      <c r="C1149" s="54">
        <v>23532.7</v>
      </c>
      <c r="D1149" s="54">
        <f t="shared" si="51"/>
        <v>-2.8997377789659246E-2</v>
      </c>
      <c r="E1149" s="54">
        <f t="shared" si="52"/>
        <v>-3.3584146152224673E-3</v>
      </c>
      <c r="F1149" s="55">
        <f t="shared" si="53"/>
        <v>2024</v>
      </c>
    </row>
    <row r="1150" spans="1:6" x14ac:dyDescent="0.35">
      <c r="A1150" s="69">
        <v>45614</v>
      </c>
      <c r="B1150" s="54">
        <v>2758.15</v>
      </c>
      <c r="C1150" s="54">
        <v>23453.8</v>
      </c>
      <c r="D1150" s="54">
        <f t="shared" si="51"/>
        <v>1.1212577361845716E-2</v>
      </c>
      <c r="E1150" s="54">
        <f t="shared" si="52"/>
        <v>2.7548168140559032E-3</v>
      </c>
      <c r="F1150" s="55">
        <f t="shared" si="53"/>
        <v>2024</v>
      </c>
    </row>
    <row r="1151" spans="1:6" x14ac:dyDescent="0.35">
      <c r="A1151" s="69">
        <v>45615</v>
      </c>
      <c r="B1151" s="54">
        <v>2789.25</v>
      </c>
      <c r="C1151" s="54">
        <v>23518.5</v>
      </c>
      <c r="D1151" s="54">
        <f t="shared" si="51"/>
        <v>-1.0940822011646638E-3</v>
      </c>
      <c r="E1151" s="54">
        <f t="shared" si="52"/>
        <v>-7.1946440359882038E-3</v>
      </c>
      <c r="F1151" s="55">
        <f t="shared" si="53"/>
        <v>2024</v>
      </c>
    </row>
    <row r="1152" spans="1:6" x14ac:dyDescent="0.35">
      <c r="A1152" s="69">
        <v>45617</v>
      </c>
      <c r="B1152" s="54">
        <v>2786.2</v>
      </c>
      <c r="C1152" s="54">
        <v>23349.9</v>
      </c>
      <c r="D1152" s="54">
        <f t="shared" si="51"/>
        <v>3.4343513671154215E-2</v>
      </c>
      <c r="E1152" s="54">
        <f t="shared" si="52"/>
        <v>2.3589058766826355E-2</v>
      </c>
      <c r="F1152" s="55">
        <f t="shared" si="53"/>
        <v>2024</v>
      </c>
    </row>
    <row r="1153" spans="1:6" x14ac:dyDescent="0.35">
      <c r="A1153" s="69">
        <v>45618</v>
      </c>
      <c r="B1153" s="54">
        <v>2883.55</v>
      </c>
      <c r="C1153" s="54">
        <v>23907.25</v>
      </c>
      <c r="D1153" s="54">
        <f t="shared" si="51"/>
        <v>3.3706171547993408E-2</v>
      </c>
      <c r="E1153" s="54">
        <f t="shared" si="52"/>
        <v>1.307542239477766E-2</v>
      </c>
      <c r="F1153" s="55">
        <f t="shared" si="53"/>
        <v>2024</v>
      </c>
    </row>
    <row r="1154" spans="1:6" x14ac:dyDescent="0.35">
      <c r="A1154" s="69">
        <v>45621</v>
      </c>
      <c r="B1154" s="54">
        <v>2982.4</v>
      </c>
      <c r="C1154" s="54">
        <v>24221.9</v>
      </c>
      <c r="D1154" s="54">
        <f t="shared" ref="D1154:D1217" si="54">LN(B1155/B1154)</f>
        <v>5.5838981499726371E-3</v>
      </c>
      <c r="E1154" s="54">
        <f t="shared" ref="E1154:E1217" si="55">LN(C1155/C1154)</f>
        <v>-1.1318480070857482E-3</v>
      </c>
      <c r="F1154" s="55">
        <f t="shared" ref="F1154:F1217" si="56">YEAR(A1154)</f>
        <v>2024</v>
      </c>
    </row>
    <row r="1155" spans="1:6" x14ac:dyDescent="0.35">
      <c r="A1155" s="69">
        <v>45622</v>
      </c>
      <c r="B1155" s="54">
        <v>2999.1</v>
      </c>
      <c r="C1155" s="54">
        <v>24194.5</v>
      </c>
      <c r="D1155" s="54">
        <f t="shared" si="54"/>
        <v>5.9507165178164408E-3</v>
      </c>
      <c r="E1155" s="54">
        <f t="shared" si="55"/>
        <v>3.3175600994260466E-3</v>
      </c>
      <c r="F1155" s="55">
        <f t="shared" si="56"/>
        <v>2024</v>
      </c>
    </row>
    <row r="1156" spans="1:6" x14ac:dyDescent="0.35">
      <c r="A1156" s="69">
        <v>45623</v>
      </c>
      <c r="B1156" s="54">
        <v>3017</v>
      </c>
      <c r="C1156" s="54">
        <v>24274.9</v>
      </c>
      <c r="D1156" s="54">
        <f t="shared" si="54"/>
        <v>-1.9884831536638947E-2</v>
      </c>
      <c r="E1156" s="54">
        <f t="shared" si="55"/>
        <v>-1.4972560750343969E-2</v>
      </c>
      <c r="F1156" s="55">
        <f t="shared" si="56"/>
        <v>2024</v>
      </c>
    </row>
    <row r="1157" spans="1:6" x14ac:dyDescent="0.35">
      <c r="A1157" s="69">
        <v>45624</v>
      </c>
      <c r="B1157" s="54">
        <v>2957.6</v>
      </c>
      <c r="C1157" s="54">
        <v>23914.15</v>
      </c>
      <c r="D1157" s="54">
        <f t="shared" si="54"/>
        <v>5.7146384120825618E-3</v>
      </c>
      <c r="E1157" s="54">
        <f t="shared" si="55"/>
        <v>9.0311310507838367E-3</v>
      </c>
      <c r="F1157" s="55">
        <f t="shared" si="56"/>
        <v>2024</v>
      </c>
    </row>
    <row r="1158" spans="1:6" x14ac:dyDescent="0.35">
      <c r="A1158" s="69">
        <v>45625</v>
      </c>
      <c r="B1158" s="54">
        <v>2974.55</v>
      </c>
      <c r="C1158" s="54">
        <v>24131.1</v>
      </c>
      <c r="D1158" s="54">
        <f t="shared" si="54"/>
        <v>2.5048823566952611E-2</v>
      </c>
      <c r="E1158" s="54">
        <f t="shared" si="55"/>
        <v>5.988802614002176E-3</v>
      </c>
      <c r="F1158" s="55">
        <f t="shared" si="56"/>
        <v>2024</v>
      </c>
    </row>
    <row r="1159" spans="1:6" x14ac:dyDescent="0.35">
      <c r="A1159" s="69">
        <v>45628</v>
      </c>
      <c r="B1159" s="54">
        <v>3050</v>
      </c>
      <c r="C1159" s="54">
        <v>24276.05</v>
      </c>
      <c r="D1159" s="54">
        <f t="shared" si="54"/>
        <v>-1.0232501807188567E-2</v>
      </c>
      <c r="E1159" s="54">
        <f t="shared" si="55"/>
        <v>7.4323390894845123E-3</v>
      </c>
      <c r="F1159" s="55">
        <f t="shared" si="56"/>
        <v>2024</v>
      </c>
    </row>
    <row r="1160" spans="1:6" x14ac:dyDescent="0.35">
      <c r="A1160" s="69">
        <v>45629</v>
      </c>
      <c r="B1160" s="54">
        <v>3018.95</v>
      </c>
      <c r="C1160" s="54">
        <v>24457.15</v>
      </c>
      <c r="D1160" s="54">
        <f t="shared" si="54"/>
        <v>-4.1413698586657279E-4</v>
      </c>
      <c r="E1160" s="54">
        <f t="shared" si="55"/>
        <v>4.2105608026115151E-4</v>
      </c>
      <c r="F1160" s="55">
        <f t="shared" si="56"/>
        <v>2024</v>
      </c>
    </row>
    <row r="1161" spans="1:6" x14ac:dyDescent="0.35">
      <c r="A1161" s="69">
        <v>45630</v>
      </c>
      <c r="B1161" s="54">
        <v>3017.7</v>
      </c>
      <c r="C1161" s="54">
        <v>24467.45</v>
      </c>
      <c r="D1161" s="54">
        <f t="shared" si="54"/>
        <v>1.1072777491258182E-2</v>
      </c>
      <c r="E1161" s="54">
        <f t="shared" si="55"/>
        <v>9.7996040025433873E-3</v>
      </c>
      <c r="F1161" s="55">
        <f t="shared" si="56"/>
        <v>2024</v>
      </c>
    </row>
    <row r="1162" spans="1:6" x14ac:dyDescent="0.35">
      <c r="A1162" s="69">
        <v>45631</v>
      </c>
      <c r="B1162" s="54">
        <v>3051.3</v>
      </c>
      <c r="C1162" s="54">
        <v>24708.400000000001</v>
      </c>
      <c r="D1162" s="54">
        <f t="shared" si="54"/>
        <v>8.6810537370995348E-4</v>
      </c>
      <c r="E1162" s="54">
        <f t="shared" si="55"/>
        <v>-1.2392127321359235E-3</v>
      </c>
      <c r="F1162" s="55">
        <f t="shared" si="56"/>
        <v>2024</v>
      </c>
    </row>
    <row r="1163" spans="1:6" x14ac:dyDescent="0.35">
      <c r="A1163" s="69">
        <v>45632</v>
      </c>
      <c r="B1163" s="54">
        <v>3053.95</v>
      </c>
      <c r="C1163" s="54">
        <v>24677.8</v>
      </c>
      <c r="D1163" s="54">
        <f t="shared" si="54"/>
        <v>1.6449047918972757E-2</v>
      </c>
      <c r="E1163" s="54">
        <f t="shared" si="55"/>
        <v>-2.3855515118706054E-3</v>
      </c>
      <c r="F1163" s="55">
        <f t="shared" si="56"/>
        <v>2024</v>
      </c>
    </row>
    <row r="1164" spans="1:6" x14ac:dyDescent="0.35">
      <c r="A1164" s="69">
        <v>45635</v>
      </c>
      <c r="B1164" s="54">
        <v>3104.6</v>
      </c>
      <c r="C1164" s="54">
        <v>24619</v>
      </c>
      <c r="D1164" s="54">
        <f t="shared" si="54"/>
        <v>2.4562191778796528E-2</v>
      </c>
      <c r="E1164" s="54">
        <f t="shared" si="55"/>
        <v>-3.6360645182499104E-4</v>
      </c>
      <c r="F1164" s="55">
        <f t="shared" si="56"/>
        <v>2024</v>
      </c>
    </row>
    <row r="1165" spans="1:6" x14ac:dyDescent="0.35">
      <c r="A1165" s="69">
        <v>45636</v>
      </c>
      <c r="B1165" s="54">
        <v>3181.8</v>
      </c>
      <c r="C1165" s="54">
        <v>24610.05</v>
      </c>
      <c r="D1165" s="54">
        <f t="shared" si="54"/>
        <v>8.6391736899132845E-4</v>
      </c>
      <c r="E1165" s="54">
        <f t="shared" si="55"/>
        <v>1.2892918498735822E-3</v>
      </c>
      <c r="F1165" s="55">
        <f t="shared" si="56"/>
        <v>2024</v>
      </c>
    </row>
    <row r="1166" spans="1:6" x14ac:dyDescent="0.35">
      <c r="A1166" s="69">
        <v>45637</v>
      </c>
      <c r="B1166" s="54">
        <v>3184.55</v>
      </c>
      <c r="C1166" s="54">
        <v>24641.8</v>
      </c>
      <c r="D1166" s="54">
        <f t="shared" si="54"/>
        <v>1.819636888532842E-3</v>
      </c>
      <c r="E1166" s="54">
        <f t="shared" si="55"/>
        <v>-3.7852882635684751E-3</v>
      </c>
      <c r="F1166" s="55">
        <f t="shared" si="56"/>
        <v>2024</v>
      </c>
    </row>
    <row r="1167" spans="1:6" x14ac:dyDescent="0.35">
      <c r="A1167" s="69">
        <v>45638</v>
      </c>
      <c r="B1167" s="54">
        <v>3190.35</v>
      </c>
      <c r="C1167" s="54">
        <v>24548.7</v>
      </c>
      <c r="D1167" s="54">
        <f t="shared" si="54"/>
        <v>1.5816469648074376E-3</v>
      </c>
      <c r="E1167" s="54">
        <f t="shared" si="55"/>
        <v>8.9057100554239786E-3</v>
      </c>
      <c r="F1167" s="55">
        <f t="shared" si="56"/>
        <v>2024</v>
      </c>
    </row>
    <row r="1168" spans="1:6" x14ac:dyDescent="0.35">
      <c r="A1168" s="69">
        <v>45639</v>
      </c>
      <c r="B1168" s="54">
        <v>3195.4</v>
      </c>
      <c r="C1168" s="54">
        <v>24768.3</v>
      </c>
      <c r="D1168" s="54">
        <f t="shared" si="54"/>
        <v>5.9442803696283918E-4</v>
      </c>
      <c r="E1168" s="54">
        <f t="shared" si="55"/>
        <v>-4.0476180718514044E-3</v>
      </c>
      <c r="F1168" s="55">
        <f t="shared" si="56"/>
        <v>2024</v>
      </c>
    </row>
    <row r="1169" spans="1:6" x14ac:dyDescent="0.35">
      <c r="A1169" s="69">
        <v>45642</v>
      </c>
      <c r="B1169" s="54">
        <v>3197.3</v>
      </c>
      <c r="C1169" s="54">
        <v>24668.25</v>
      </c>
      <c r="D1169" s="54">
        <f t="shared" si="54"/>
        <v>-5.0482195474539464E-3</v>
      </c>
      <c r="E1169" s="54">
        <f t="shared" si="55"/>
        <v>-1.3560256148274351E-2</v>
      </c>
      <c r="F1169" s="55">
        <f t="shared" si="56"/>
        <v>2024</v>
      </c>
    </row>
    <row r="1170" spans="1:6" x14ac:dyDescent="0.35">
      <c r="A1170" s="69">
        <v>45643</v>
      </c>
      <c r="B1170" s="54">
        <v>3181.2</v>
      </c>
      <c r="C1170" s="54">
        <v>24336</v>
      </c>
      <c r="D1170" s="54">
        <f t="shared" si="54"/>
        <v>-1.4627819052794352E-3</v>
      </c>
      <c r="E1170" s="54">
        <f t="shared" si="55"/>
        <v>-5.6516241445957781E-3</v>
      </c>
      <c r="F1170" s="55">
        <f t="shared" si="56"/>
        <v>2024</v>
      </c>
    </row>
    <row r="1171" spans="1:6" x14ac:dyDescent="0.35">
      <c r="A1171" s="69">
        <v>45644</v>
      </c>
      <c r="B1171" s="54">
        <v>3176.55</v>
      </c>
      <c r="C1171" s="54">
        <v>24198.85</v>
      </c>
      <c r="D1171" s="54">
        <f t="shared" si="54"/>
        <v>-1.8892619794730683E-2</v>
      </c>
      <c r="E1171" s="54">
        <f t="shared" si="55"/>
        <v>-1.0265808823608006E-2</v>
      </c>
      <c r="F1171" s="55">
        <f t="shared" si="56"/>
        <v>2024</v>
      </c>
    </row>
    <row r="1172" spans="1:6" x14ac:dyDescent="0.35">
      <c r="A1172" s="69">
        <v>45645</v>
      </c>
      <c r="B1172" s="54">
        <v>3117.1</v>
      </c>
      <c r="C1172" s="54">
        <v>23951.7</v>
      </c>
      <c r="D1172" s="54">
        <f t="shared" si="54"/>
        <v>-5.4894542899503476E-2</v>
      </c>
      <c r="E1172" s="54">
        <f t="shared" si="55"/>
        <v>-1.5322391854064712E-2</v>
      </c>
      <c r="F1172" s="55">
        <f t="shared" si="56"/>
        <v>2024</v>
      </c>
    </row>
    <row r="1173" spans="1:6" x14ac:dyDescent="0.35">
      <c r="A1173" s="69">
        <v>45646</v>
      </c>
      <c r="B1173" s="54">
        <v>2950.6</v>
      </c>
      <c r="C1173" s="54">
        <v>23587.5</v>
      </c>
      <c r="D1173" s="54">
        <f t="shared" si="54"/>
        <v>9.1258593108213045E-3</v>
      </c>
      <c r="E1173" s="54">
        <f t="shared" si="55"/>
        <v>7.0108723942055237E-3</v>
      </c>
      <c r="F1173" s="55">
        <f t="shared" si="56"/>
        <v>2024</v>
      </c>
    </row>
    <row r="1174" spans="1:6" x14ac:dyDescent="0.35">
      <c r="A1174" s="69">
        <v>45649</v>
      </c>
      <c r="B1174" s="54">
        <v>2977.65</v>
      </c>
      <c r="C1174" s="54">
        <v>23753.45</v>
      </c>
      <c r="D1174" s="54">
        <f t="shared" si="54"/>
        <v>-1.5910157383282268E-2</v>
      </c>
      <c r="E1174" s="54">
        <f t="shared" si="55"/>
        <v>-1.0867483078192092E-3</v>
      </c>
      <c r="F1174" s="55">
        <f t="shared" si="56"/>
        <v>2024</v>
      </c>
    </row>
    <row r="1175" spans="1:6" x14ac:dyDescent="0.35">
      <c r="A1175" s="69">
        <v>45650</v>
      </c>
      <c r="B1175" s="54">
        <v>2930.65</v>
      </c>
      <c r="C1175" s="54">
        <v>23727.65</v>
      </c>
      <c r="D1175" s="54">
        <f t="shared" si="54"/>
        <v>-7.603948199876441E-3</v>
      </c>
      <c r="E1175" s="54">
        <f t="shared" si="55"/>
        <v>9.4991671677012402E-4</v>
      </c>
      <c r="F1175" s="55">
        <f t="shared" si="56"/>
        <v>2024</v>
      </c>
    </row>
    <row r="1176" spans="1:6" x14ac:dyDescent="0.35">
      <c r="A1176" s="69">
        <v>45652</v>
      </c>
      <c r="B1176" s="54">
        <v>2908.45</v>
      </c>
      <c r="C1176" s="54">
        <v>23750.2</v>
      </c>
      <c r="D1176" s="54">
        <f t="shared" si="54"/>
        <v>-8.4594109884776614E-3</v>
      </c>
      <c r="E1176" s="54">
        <f t="shared" si="55"/>
        <v>2.6574959504618452E-3</v>
      </c>
      <c r="F1176" s="55">
        <f t="shared" si="56"/>
        <v>2024</v>
      </c>
    </row>
    <row r="1177" spans="1:6" x14ac:dyDescent="0.35">
      <c r="A1177" s="69">
        <v>45653</v>
      </c>
      <c r="B1177" s="54">
        <v>2883.95</v>
      </c>
      <c r="C1177" s="54">
        <v>23813.4</v>
      </c>
      <c r="D1177" s="54">
        <f t="shared" si="54"/>
        <v>1.763174628766977E-2</v>
      </c>
      <c r="E1177" s="54">
        <f t="shared" si="55"/>
        <v>-7.1010005853283714E-3</v>
      </c>
      <c r="F1177" s="55">
        <f t="shared" si="56"/>
        <v>2024</v>
      </c>
    </row>
    <row r="1178" spans="1:6" x14ac:dyDescent="0.35">
      <c r="A1178" s="69">
        <v>45656</v>
      </c>
      <c r="B1178" s="54">
        <v>2935.25</v>
      </c>
      <c r="C1178" s="54">
        <v>23644.9</v>
      </c>
      <c r="D1178" s="54">
        <f t="shared" si="54"/>
        <v>-3.0456573314338351E-2</v>
      </c>
      <c r="E1178" s="54">
        <f t="shared" si="55"/>
        <v>-4.229250767129392E-6</v>
      </c>
      <c r="F1178" s="55">
        <f t="shared" si="56"/>
        <v>2024</v>
      </c>
    </row>
    <row r="1179" spans="1:6" x14ac:dyDescent="0.35">
      <c r="A1179" s="69">
        <v>45657</v>
      </c>
      <c r="B1179" s="54">
        <v>2847.2</v>
      </c>
      <c r="C1179" s="54">
        <v>23644.799999999999</v>
      </c>
      <c r="D1179" s="54">
        <f t="shared" si="54"/>
        <v>2.7007610109913986E-3</v>
      </c>
      <c r="E1179" s="54">
        <f t="shared" si="55"/>
        <v>4.1403208063656048E-3</v>
      </c>
      <c r="F1179" s="55">
        <f t="shared" si="56"/>
        <v>2024</v>
      </c>
    </row>
    <row r="1180" spans="1:6" x14ac:dyDescent="0.35">
      <c r="A1180" s="69">
        <v>45658</v>
      </c>
      <c r="B1180" s="54">
        <v>2854.9</v>
      </c>
      <c r="C1180" s="54">
        <v>23742.9</v>
      </c>
      <c r="D1180" s="54">
        <f t="shared" si="54"/>
        <v>1.5225544399860605E-2</v>
      </c>
      <c r="E1180" s="54">
        <f t="shared" si="55"/>
        <v>1.8599976460843735E-2</v>
      </c>
      <c r="F1180" s="55">
        <f t="shared" si="56"/>
        <v>2025</v>
      </c>
    </row>
    <row r="1181" spans="1:6" x14ac:dyDescent="0.35">
      <c r="A1181" s="69">
        <v>45659</v>
      </c>
      <c r="B1181" s="54">
        <v>2898.7</v>
      </c>
      <c r="C1181" s="54">
        <v>24188.65</v>
      </c>
      <c r="D1181" s="54">
        <f t="shared" si="54"/>
        <v>-1.0211689046057067E-2</v>
      </c>
      <c r="E1181" s="54">
        <f t="shared" si="55"/>
        <v>-7.6317874477081537E-3</v>
      </c>
      <c r="F1181" s="55">
        <f t="shared" si="56"/>
        <v>2025</v>
      </c>
    </row>
    <row r="1182" spans="1:6" x14ac:dyDescent="0.35">
      <c r="A1182" s="69">
        <v>45660</v>
      </c>
      <c r="B1182" s="54">
        <v>2869.25</v>
      </c>
      <c r="C1182" s="54">
        <v>24004.75</v>
      </c>
      <c r="D1182" s="54">
        <f t="shared" si="54"/>
        <v>9.8493920793504622E-3</v>
      </c>
      <c r="E1182" s="54">
        <f t="shared" si="55"/>
        <v>-1.6325161807199819E-2</v>
      </c>
      <c r="F1182" s="55">
        <f t="shared" si="56"/>
        <v>2025</v>
      </c>
    </row>
    <row r="1183" spans="1:6" x14ac:dyDescent="0.35">
      <c r="A1183" s="69">
        <v>45663</v>
      </c>
      <c r="B1183" s="54">
        <v>2897.65</v>
      </c>
      <c r="C1183" s="54">
        <v>23616.05</v>
      </c>
      <c r="D1183" s="54">
        <f t="shared" si="54"/>
        <v>9.8045893039335578E-3</v>
      </c>
      <c r="E1183" s="54">
        <f t="shared" si="55"/>
        <v>3.8817603067130878E-3</v>
      </c>
      <c r="F1183" s="55">
        <f t="shared" si="56"/>
        <v>2025</v>
      </c>
    </row>
    <row r="1184" spans="1:6" x14ac:dyDescent="0.35">
      <c r="A1184" s="69">
        <v>45664</v>
      </c>
      <c r="B1184" s="54">
        <v>2926.2</v>
      </c>
      <c r="C1184" s="54">
        <v>23707.9</v>
      </c>
      <c r="D1184" s="54">
        <f t="shared" si="54"/>
        <v>-4.6145564435636985E-4</v>
      </c>
      <c r="E1184" s="54">
        <f t="shared" si="55"/>
        <v>-7.9963124172743882E-4</v>
      </c>
      <c r="F1184" s="55">
        <f t="shared" si="56"/>
        <v>2025</v>
      </c>
    </row>
    <row r="1185" spans="1:6" x14ac:dyDescent="0.35">
      <c r="A1185" s="69">
        <v>45665</v>
      </c>
      <c r="B1185" s="54">
        <v>2924.85</v>
      </c>
      <c r="C1185" s="54">
        <v>23688.95</v>
      </c>
      <c r="D1185" s="54">
        <f t="shared" si="54"/>
        <v>-1.8251955753889375E-2</v>
      </c>
      <c r="E1185" s="54">
        <f t="shared" si="55"/>
        <v>-6.8812492953755225E-3</v>
      </c>
      <c r="F1185" s="55">
        <f t="shared" si="56"/>
        <v>2025</v>
      </c>
    </row>
    <row r="1186" spans="1:6" x14ac:dyDescent="0.35">
      <c r="A1186" s="69">
        <v>45666</v>
      </c>
      <c r="B1186" s="54">
        <v>2871.95</v>
      </c>
      <c r="C1186" s="54">
        <v>23526.5</v>
      </c>
      <c r="D1186" s="54">
        <f t="shared" si="54"/>
        <v>1.4878578238776741E-2</v>
      </c>
      <c r="E1186" s="54">
        <f t="shared" si="55"/>
        <v>-4.0461744370668276E-3</v>
      </c>
      <c r="F1186" s="55">
        <f t="shared" si="56"/>
        <v>2025</v>
      </c>
    </row>
    <row r="1187" spans="1:6" x14ac:dyDescent="0.35">
      <c r="A1187" s="69">
        <v>45667</v>
      </c>
      <c r="B1187" s="54">
        <v>2915</v>
      </c>
      <c r="C1187" s="54">
        <v>23431.5</v>
      </c>
      <c r="D1187" s="54">
        <f t="shared" si="54"/>
        <v>-4.8318577270807683E-2</v>
      </c>
      <c r="E1187" s="54">
        <f t="shared" si="55"/>
        <v>-1.4857063581440453E-2</v>
      </c>
      <c r="F1187" s="55">
        <f t="shared" si="56"/>
        <v>2025</v>
      </c>
    </row>
    <row r="1188" spans="1:6" x14ac:dyDescent="0.35">
      <c r="A1188" s="69">
        <v>45670</v>
      </c>
      <c r="B1188" s="54">
        <v>2777.5</v>
      </c>
      <c r="C1188" s="54">
        <v>23085.95</v>
      </c>
      <c r="D1188" s="54">
        <f t="shared" si="54"/>
        <v>9.8960918516628185E-4</v>
      </c>
      <c r="E1188" s="54">
        <f t="shared" si="55"/>
        <v>3.8952104933376291E-3</v>
      </c>
      <c r="F1188" s="55">
        <f t="shared" si="56"/>
        <v>2025</v>
      </c>
    </row>
    <row r="1189" spans="1:6" x14ac:dyDescent="0.35">
      <c r="A1189" s="69">
        <v>45671</v>
      </c>
      <c r="B1189" s="54">
        <v>2780.25</v>
      </c>
      <c r="C1189" s="54">
        <v>23176.05</v>
      </c>
      <c r="D1189" s="54">
        <f t="shared" si="54"/>
        <v>-1.7985611559271833E-4</v>
      </c>
      <c r="E1189" s="54">
        <f t="shared" si="55"/>
        <v>1.6016645210618786E-3</v>
      </c>
      <c r="F1189" s="55">
        <f t="shared" si="56"/>
        <v>2025</v>
      </c>
    </row>
    <row r="1190" spans="1:6" x14ac:dyDescent="0.35">
      <c r="A1190" s="69">
        <v>45672</v>
      </c>
      <c r="B1190" s="54">
        <v>2779.75</v>
      </c>
      <c r="C1190" s="54">
        <v>23213.200000000001</v>
      </c>
      <c r="D1190" s="54">
        <f t="shared" si="54"/>
        <v>1.487222005704345E-2</v>
      </c>
      <c r="E1190" s="54">
        <f t="shared" si="55"/>
        <v>4.2385877535739327E-3</v>
      </c>
      <c r="F1190" s="55">
        <f t="shared" si="56"/>
        <v>2025</v>
      </c>
    </row>
    <row r="1191" spans="1:6" x14ac:dyDescent="0.35">
      <c r="A1191" s="69">
        <v>45673</v>
      </c>
      <c r="B1191" s="54">
        <v>2821.4</v>
      </c>
      <c r="C1191" s="54">
        <v>23311.8</v>
      </c>
      <c r="D1191" s="54">
        <f t="shared" si="54"/>
        <v>-1.4897317691467311E-3</v>
      </c>
      <c r="E1191" s="54">
        <f t="shared" si="55"/>
        <v>-4.6694699484325849E-3</v>
      </c>
      <c r="F1191" s="55">
        <f t="shared" si="56"/>
        <v>2025</v>
      </c>
    </row>
    <row r="1192" spans="1:6" x14ac:dyDescent="0.35">
      <c r="A1192" s="69">
        <v>45674</v>
      </c>
      <c r="B1192" s="54">
        <v>2817.2</v>
      </c>
      <c r="C1192" s="54">
        <v>23203.200000000001</v>
      </c>
      <c r="D1192" s="54">
        <f t="shared" si="54"/>
        <v>-4.2508223262795481E-3</v>
      </c>
      <c r="E1192" s="54">
        <f t="shared" si="55"/>
        <v>6.0819192391741118E-3</v>
      </c>
      <c r="F1192" s="55">
        <f t="shared" si="56"/>
        <v>2025</v>
      </c>
    </row>
    <row r="1193" spans="1:6" x14ac:dyDescent="0.35">
      <c r="A1193" s="69">
        <v>45677</v>
      </c>
      <c r="B1193" s="54">
        <v>2805.25</v>
      </c>
      <c r="C1193" s="54">
        <v>23344.75</v>
      </c>
      <c r="D1193" s="54">
        <f t="shared" si="54"/>
        <v>-1.1364573449429823E-2</v>
      </c>
      <c r="E1193" s="54">
        <f t="shared" si="55"/>
        <v>-1.3806738277095545E-2</v>
      </c>
      <c r="F1193" s="55">
        <f t="shared" si="56"/>
        <v>2025</v>
      </c>
    </row>
    <row r="1194" spans="1:6" x14ac:dyDescent="0.35">
      <c r="A1194" s="69">
        <v>45678</v>
      </c>
      <c r="B1194" s="54">
        <v>2773.55</v>
      </c>
      <c r="C1194" s="54">
        <v>23024.65</v>
      </c>
      <c r="D1194" s="54">
        <f t="shared" si="54"/>
        <v>1.2682659921477032E-2</v>
      </c>
      <c r="E1194" s="54">
        <f t="shared" si="55"/>
        <v>5.6604741870661156E-3</v>
      </c>
      <c r="F1194" s="55">
        <f t="shared" si="56"/>
        <v>2025</v>
      </c>
    </row>
    <row r="1195" spans="1:6" x14ac:dyDescent="0.35">
      <c r="A1195" s="69">
        <v>45679</v>
      </c>
      <c r="B1195" s="54">
        <v>2808.95</v>
      </c>
      <c r="C1195" s="54">
        <v>23155.35</v>
      </c>
      <c r="D1195" s="54">
        <f t="shared" si="54"/>
        <v>3.8413214536566619E-2</v>
      </c>
      <c r="E1195" s="54">
        <f t="shared" si="55"/>
        <v>2.1570001913706685E-3</v>
      </c>
      <c r="F1195" s="55">
        <f t="shared" si="56"/>
        <v>2025</v>
      </c>
    </row>
    <row r="1196" spans="1:6" x14ac:dyDescent="0.35">
      <c r="A1196" s="69">
        <v>45680</v>
      </c>
      <c r="B1196" s="54">
        <v>2918.95</v>
      </c>
      <c r="C1196" s="54">
        <v>23205.35</v>
      </c>
      <c r="D1196" s="54">
        <f t="shared" si="54"/>
        <v>3.0483531003959865E-2</v>
      </c>
      <c r="E1196" s="54">
        <f t="shared" si="55"/>
        <v>-4.8879573663295961E-3</v>
      </c>
      <c r="F1196" s="55">
        <f t="shared" si="56"/>
        <v>2025</v>
      </c>
    </row>
    <row r="1197" spans="1:6" x14ac:dyDescent="0.35">
      <c r="A1197" s="69">
        <v>45681</v>
      </c>
      <c r="B1197" s="54">
        <v>3009.3</v>
      </c>
      <c r="C1197" s="54">
        <v>23092.2</v>
      </c>
      <c r="D1197" s="54">
        <f t="shared" si="54"/>
        <v>-2.4284793589905984E-2</v>
      </c>
      <c r="E1197" s="54">
        <f t="shared" si="55"/>
        <v>-1.1456670033394137E-2</v>
      </c>
      <c r="F1197" s="55">
        <f t="shared" si="56"/>
        <v>2025</v>
      </c>
    </row>
    <row r="1198" spans="1:6" x14ac:dyDescent="0.35">
      <c r="A1198" s="69">
        <v>45684</v>
      </c>
      <c r="B1198" s="54">
        <v>2937.1</v>
      </c>
      <c r="C1198" s="54">
        <v>22829.15</v>
      </c>
      <c r="D1198" s="54">
        <f t="shared" si="54"/>
        <v>-1.8331169479679842E-2</v>
      </c>
      <c r="E1198" s="54">
        <f t="shared" si="55"/>
        <v>5.5955626228530505E-3</v>
      </c>
      <c r="F1198" s="55">
        <f t="shared" si="56"/>
        <v>2025</v>
      </c>
    </row>
    <row r="1199" spans="1:6" x14ac:dyDescent="0.35">
      <c r="A1199" s="69">
        <v>45685</v>
      </c>
      <c r="B1199" s="54">
        <v>2883.75</v>
      </c>
      <c r="C1199" s="54">
        <v>22957.25</v>
      </c>
      <c r="D1199" s="54">
        <f t="shared" si="54"/>
        <v>4.259934777188068E-2</v>
      </c>
      <c r="E1199" s="54">
        <f t="shared" si="55"/>
        <v>8.9267044567532539E-3</v>
      </c>
      <c r="F1199" s="55">
        <f t="shared" si="56"/>
        <v>2025</v>
      </c>
    </row>
    <row r="1200" spans="1:6" x14ac:dyDescent="0.35">
      <c r="A1200" s="69">
        <v>45686</v>
      </c>
      <c r="B1200" s="54">
        <v>3009.25</v>
      </c>
      <c r="C1200" s="54">
        <v>23163.1</v>
      </c>
      <c r="D1200" s="54">
        <f t="shared" si="54"/>
        <v>-4.8215435281127074E-2</v>
      </c>
      <c r="E1200" s="54">
        <f t="shared" si="55"/>
        <v>3.7231312102430775E-3</v>
      </c>
      <c r="F1200" s="55">
        <f t="shared" si="56"/>
        <v>2025</v>
      </c>
    </row>
    <row r="1201" spans="1:6" x14ac:dyDescent="0.35">
      <c r="A1201" s="69">
        <v>45687</v>
      </c>
      <c r="B1201" s="54">
        <v>2867.6</v>
      </c>
      <c r="C1201" s="54">
        <v>23249.5</v>
      </c>
      <c r="D1201" s="54">
        <f t="shared" si="54"/>
        <v>1.220458370808866E-4</v>
      </c>
      <c r="E1201" s="54">
        <f t="shared" si="55"/>
        <v>1.1074177663955638E-2</v>
      </c>
      <c r="F1201" s="55">
        <f t="shared" si="56"/>
        <v>2025</v>
      </c>
    </row>
    <row r="1202" spans="1:6" x14ac:dyDescent="0.35">
      <c r="A1202" s="69">
        <v>45688</v>
      </c>
      <c r="B1202" s="54">
        <v>2867.95</v>
      </c>
      <c r="C1202" s="54">
        <v>23508.400000000001</v>
      </c>
      <c r="D1202" s="54">
        <f t="shared" si="54"/>
        <v>-2.4513929484383631E-2</v>
      </c>
      <c r="E1202" s="54">
        <f t="shared" si="55"/>
        <v>-1.1172460305538994E-3</v>
      </c>
      <c r="F1202" s="55">
        <f t="shared" si="56"/>
        <v>2025</v>
      </c>
    </row>
    <row r="1203" spans="1:6" x14ac:dyDescent="0.35">
      <c r="A1203" s="69">
        <v>45689</v>
      </c>
      <c r="B1203" s="54">
        <v>2798.5</v>
      </c>
      <c r="C1203" s="54">
        <v>23482.15</v>
      </c>
      <c r="D1203" s="54">
        <f t="shared" si="54"/>
        <v>6.8551347907738073E-3</v>
      </c>
      <c r="E1203" s="54">
        <f t="shared" si="55"/>
        <v>-5.1704524791751734E-3</v>
      </c>
      <c r="F1203" s="55">
        <f t="shared" si="56"/>
        <v>2025</v>
      </c>
    </row>
    <row r="1204" spans="1:6" x14ac:dyDescent="0.35">
      <c r="A1204" s="69">
        <v>45691</v>
      </c>
      <c r="B1204" s="54">
        <v>2817.75</v>
      </c>
      <c r="C1204" s="54">
        <v>23361.05</v>
      </c>
      <c r="D1204" s="54">
        <f t="shared" si="54"/>
        <v>-4.374740225069256E-3</v>
      </c>
      <c r="E1204" s="54">
        <f t="shared" si="55"/>
        <v>1.6059690853104273E-2</v>
      </c>
      <c r="F1204" s="55">
        <f t="shared" si="56"/>
        <v>2025</v>
      </c>
    </row>
    <row r="1205" spans="1:6" x14ac:dyDescent="0.35">
      <c r="A1205" s="69">
        <v>45692</v>
      </c>
      <c r="B1205" s="54">
        <v>2805.45</v>
      </c>
      <c r="C1205" s="54">
        <v>23739.25</v>
      </c>
      <c r="D1205" s="54">
        <f t="shared" si="54"/>
        <v>1.2908888652479819E-2</v>
      </c>
      <c r="E1205" s="54">
        <f t="shared" si="55"/>
        <v>-1.8108786231885072E-3</v>
      </c>
      <c r="F1205" s="55">
        <f t="shared" si="56"/>
        <v>2025</v>
      </c>
    </row>
    <row r="1206" spans="1:6" x14ac:dyDescent="0.35">
      <c r="A1206" s="69">
        <v>45693</v>
      </c>
      <c r="B1206" s="54">
        <v>2841.9</v>
      </c>
      <c r="C1206" s="54">
        <v>23696.3</v>
      </c>
      <c r="D1206" s="54">
        <f t="shared" si="54"/>
        <v>-5.7344159397802472E-3</v>
      </c>
      <c r="E1206" s="54">
        <f t="shared" si="55"/>
        <v>-3.9302666996406553E-3</v>
      </c>
      <c r="F1206" s="55">
        <f t="shared" si="56"/>
        <v>2025</v>
      </c>
    </row>
    <row r="1207" spans="1:6" x14ac:dyDescent="0.35">
      <c r="A1207" s="69">
        <v>45694</v>
      </c>
      <c r="B1207" s="54">
        <v>2825.65</v>
      </c>
      <c r="C1207" s="54">
        <v>23603.35</v>
      </c>
      <c r="D1207" s="54">
        <f t="shared" si="54"/>
        <v>1.5050818432107513E-2</v>
      </c>
      <c r="E1207" s="54">
        <f t="shared" si="55"/>
        <v>-1.8404145702315485E-3</v>
      </c>
      <c r="F1207" s="55">
        <f t="shared" si="56"/>
        <v>2025</v>
      </c>
    </row>
    <row r="1208" spans="1:6" x14ac:dyDescent="0.35">
      <c r="A1208" s="69">
        <v>45695</v>
      </c>
      <c r="B1208" s="54">
        <v>2868.5</v>
      </c>
      <c r="C1208" s="54">
        <v>23559.95</v>
      </c>
      <c r="D1208" s="54">
        <f t="shared" si="54"/>
        <v>-2.8841437158655836E-2</v>
      </c>
      <c r="E1208" s="54">
        <f t="shared" si="55"/>
        <v>-7.598848278210316E-3</v>
      </c>
      <c r="F1208" s="55">
        <f t="shared" si="56"/>
        <v>2025</v>
      </c>
    </row>
    <row r="1209" spans="1:6" x14ac:dyDescent="0.35">
      <c r="A1209" s="69">
        <v>45698</v>
      </c>
      <c r="B1209" s="54">
        <v>2786.95</v>
      </c>
      <c r="C1209" s="54">
        <v>23381.599999999999</v>
      </c>
      <c r="D1209" s="54">
        <f t="shared" si="54"/>
        <v>-2.6671641285685978E-2</v>
      </c>
      <c r="E1209" s="54">
        <f t="shared" si="55"/>
        <v>-1.3338295712820561E-2</v>
      </c>
      <c r="F1209" s="55">
        <f t="shared" si="56"/>
        <v>2025</v>
      </c>
    </row>
    <row r="1210" spans="1:6" x14ac:dyDescent="0.35">
      <c r="A1210" s="69">
        <v>45699</v>
      </c>
      <c r="B1210" s="54">
        <v>2713.6</v>
      </c>
      <c r="C1210" s="54">
        <v>23071.8</v>
      </c>
      <c r="D1210" s="54">
        <f t="shared" si="54"/>
        <v>-1.7471913916225879E-2</v>
      </c>
      <c r="E1210" s="54">
        <f t="shared" si="55"/>
        <v>-1.1514180951839536E-3</v>
      </c>
      <c r="F1210" s="55">
        <f t="shared" si="56"/>
        <v>2025</v>
      </c>
    </row>
    <row r="1211" spans="1:6" x14ac:dyDescent="0.35">
      <c r="A1211" s="69">
        <v>45700</v>
      </c>
      <c r="B1211" s="54">
        <v>2666.6</v>
      </c>
      <c r="C1211" s="54">
        <v>23045.25</v>
      </c>
      <c r="D1211" s="54">
        <f t="shared" si="54"/>
        <v>-2.4543088781238741E-2</v>
      </c>
      <c r="E1211" s="54">
        <f t="shared" si="55"/>
        <v>-6.0117219533637628E-4</v>
      </c>
      <c r="F1211" s="55">
        <f t="shared" si="56"/>
        <v>2025</v>
      </c>
    </row>
    <row r="1212" spans="1:6" x14ac:dyDescent="0.35">
      <c r="A1212" s="69">
        <v>45701</v>
      </c>
      <c r="B1212" s="54">
        <v>2601.9499999999998</v>
      </c>
      <c r="C1212" s="54">
        <v>23031.4</v>
      </c>
      <c r="D1212" s="54">
        <f t="shared" si="54"/>
        <v>-1.8502525428586294E-2</v>
      </c>
      <c r="E1212" s="54">
        <f t="shared" si="55"/>
        <v>-4.4451141660866375E-3</v>
      </c>
      <c r="F1212" s="55">
        <f t="shared" si="56"/>
        <v>2025</v>
      </c>
    </row>
    <row r="1213" spans="1:6" x14ac:dyDescent="0.35">
      <c r="A1213" s="69">
        <v>45702</v>
      </c>
      <c r="B1213" s="54">
        <v>2554.25</v>
      </c>
      <c r="C1213" s="54">
        <v>22929.25</v>
      </c>
      <c r="D1213" s="54">
        <f t="shared" si="54"/>
        <v>1.4420336947237268E-2</v>
      </c>
      <c r="E1213" s="54">
        <f t="shared" si="55"/>
        <v>1.318406118349223E-3</v>
      </c>
      <c r="F1213" s="55">
        <f t="shared" si="56"/>
        <v>2025</v>
      </c>
    </row>
    <row r="1214" spans="1:6" x14ac:dyDescent="0.35">
      <c r="A1214" s="69">
        <v>45705</v>
      </c>
      <c r="B1214" s="54">
        <v>2591.35</v>
      </c>
      <c r="C1214" s="54">
        <v>22959.5</v>
      </c>
      <c r="D1214" s="54">
        <f t="shared" si="54"/>
        <v>-4.7966360848045947E-3</v>
      </c>
      <c r="E1214" s="54">
        <f t="shared" si="55"/>
        <v>-6.1867170548291742E-4</v>
      </c>
      <c r="F1214" s="55">
        <f t="shared" si="56"/>
        <v>2025</v>
      </c>
    </row>
    <row r="1215" spans="1:6" x14ac:dyDescent="0.35">
      <c r="A1215" s="69">
        <v>45706</v>
      </c>
      <c r="B1215" s="54">
        <v>2578.9499999999998</v>
      </c>
      <c r="C1215" s="54">
        <v>22945.3</v>
      </c>
      <c r="D1215" s="54">
        <f t="shared" si="54"/>
        <v>1.2446694536809829E-2</v>
      </c>
      <c r="E1215" s="54">
        <f t="shared" si="55"/>
        <v>-5.4056176144420191E-4</v>
      </c>
      <c r="F1215" s="55">
        <f t="shared" si="56"/>
        <v>2025</v>
      </c>
    </row>
    <row r="1216" spans="1:6" x14ac:dyDescent="0.35">
      <c r="A1216" s="69">
        <v>45707</v>
      </c>
      <c r="B1216" s="54">
        <v>2611.25</v>
      </c>
      <c r="C1216" s="54">
        <v>22932.9</v>
      </c>
      <c r="D1216" s="54">
        <f t="shared" si="54"/>
        <v>9.907673691142543E-3</v>
      </c>
      <c r="E1216" s="54">
        <f t="shared" si="55"/>
        <v>-8.615791860687675E-4</v>
      </c>
      <c r="F1216" s="55">
        <f t="shared" si="56"/>
        <v>2025</v>
      </c>
    </row>
    <row r="1217" spans="1:6" x14ac:dyDescent="0.35">
      <c r="A1217" s="69">
        <v>45708</v>
      </c>
      <c r="B1217" s="54">
        <v>2637.25</v>
      </c>
      <c r="C1217" s="54">
        <v>22913.15</v>
      </c>
      <c r="D1217" s="54">
        <f t="shared" si="54"/>
        <v>-2.6784570752135094E-2</v>
      </c>
      <c r="E1217" s="54">
        <f t="shared" si="55"/>
        <v>-5.1302863291465021E-3</v>
      </c>
      <c r="F1217" s="55">
        <f t="shared" si="56"/>
        <v>2025</v>
      </c>
    </row>
    <row r="1218" spans="1:6" x14ac:dyDescent="0.35">
      <c r="A1218" s="69">
        <v>45709</v>
      </c>
      <c r="B1218" s="54">
        <v>2567.5500000000002</v>
      </c>
      <c r="C1218" s="54">
        <v>22795.9</v>
      </c>
      <c r="D1218" s="54">
        <f t="shared" ref="D1218:D1281" si="57">LN(B1219/B1218)</f>
        <v>-3.1513155684515272E-2</v>
      </c>
      <c r="E1218" s="54">
        <f t="shared" ref="E1218:E1281" si="58">LN(C1219/C1218)</f>
        <v>-1.069708155537406E-2</v>
      </c>
      <c r="F1218" s="55">
        <f t="shared" ref="F1218:F1281" si="59">YEAR(A1218)</f>
        <v>2025</v>
      </c>
    </row>
    <row r="1219" spans="1:6" x14ac:dyDescent="0.35">
      <c r="A1219" s="69">
        <v>45712</v>
      </c>
      <c r="B1219" s="54">
        <v>2487.9</v>
      </c>
      <c r="C1219" s="54">
        <v>22553.35</v>
      </c>
      <c r="D1219" s="54">
        <f t="shared" si="57"/>
        <v>-1.4167983106230466E-2</v>
      </c>
      <c r="E1219" s="54">
        <f t="shared" si="58"/>
        <v>-2.5720107722782741E-4</v>
      </c>
      <c r="F1219" s="55">
        <f t="shared" si="59"/>
        <v>2025</v>
      </c>
    </row>
    <row r="1220" spans="1:6" x14ac:dyDescent="0.35">
      <c r="A1220" s="69">
        <v>45713</v>
      </c>
      <c r="B1220" s="54">
        <v>2452.9</v>
      </c>
      <c r="C1220" s="54">
        <v>22547.55</v>
      </c>
      <c r="D1220" s="54">
        <f t="shared" si="57"/>
        <v>-3.1684260537450895E-2</v>
      </c>
      <c r="E1220" s="54">
        <f t="shared" si="58"/>
        <v>-1.108829387776427E-4</v>
      </c>
      <c r="F1220" s="55">
        <f t="shared" si="59"/>
        <v>2025</v>
      </c>
    </row>
    <row r="1221" spans="1:6" x14ac:dyDescent="0.35">
      <c r="A1221" s="69">
        <v>45715</v>
      </c>
      <c r="B1221" s="54">
        <v>2376.4</v>
      </c>
      <c r="C1221" s="54">
        <v>22545.05</v>
      </c>
      <c r="D1221" s="54">
        <f t="shared" si="57"/>
        <v>-5.5879491028077773E-2</v>
      </c>
      <c r="E1221" s="54">
        <f t="shared" si="58"/>
        <v>-1.8820898177206152E-2</v>
      </c>
      <c r="F1221" s="55">
        <f t="shared" si="59"/>
        <v>2025</v>
      </c>
    </row>
    <row r="1222" spans="1:6" x14ac:dyDescent="0.35">
      <c r="A1222" s="69">
        <v>45716</v>
      </c>
      <c r="B1222" s="54">
        <v>2247.25</v>
      </c>
      <c r="C1222" s="54">
        <v>22124.7</v>
      </c>
      <c r="D1222" s="54">
        <f t="shared" si="57"/>
        <v>8.0440973131046169E-3</v>
      </c>
      <c r="E1222" s="54">
        <f t="shared" si="58"/>
        <v>-2.4410089624874701E-4</v>
      </c>
      <c r="F1222" s="55">
        <f t="shared" si="59"/>
        <v>2025</v>
      </c>
    </row>
    <row r="1223" spans="1:6" x14ac:dyDescent="0.35">
      <c r="A1223" s="69">
        <v>45719</v>
      </c>
      <c r="B1223" s="54">
        <v>2265.4</v>
      </c>
      <c r="C1223" s="54">
        <v>22119.3</v>
      </c>
      <c r="D1223" s="54">
        <f t="shared" si="57"/>
        <v>-8.3333815591444104E-3</v>
      </c>
      <c r="E1223" s="54">
        <f t="shared" si="58"/>
        <v>-1.6582982605433554E-3</v>
      </c>
      <c r="F1223" s="55">
        <f t="shared" si="59"/>
        <v>2025</v>
      </c>
    </row>
    <row r="1224" spans="1:6" x14ac:dyDescent="0.35">
      <c r="A1224" s="69">
        <v>45720</v>
      </c>
      <c r="B1224" s="54">
        <v>2246.6</v>
      </c>
      <c r="C1224" s="54">
        <v>22082.65</v>
      </c>
      <c r="D1224" s="54">
        <f t="shared" si="57"/>
        <v>2.6898392974004197E-2</v>
      </c>
      <c r="E1224" s="54">
        <f t="shared" si="58"/>
        <v>1.1465694568782813E-2</v>
      </c>
      <c r="F1224" s="55">
        <f t="shared" si="59"/>
        <v>2025</v>
      </c>
    </row>
    <row r="1225" spans="1:6" x14ac:dyDescent="0.35">
      <c r="A1225" s="69">
        <v>45721</v>
      </c>
      <c r="B1225" s="54">
        <v>2307.85</v>
      </c>
      <c r="C1225" s="54">
        <v>22337.3</v>
      </c>
      <c r="D1225" s="54">
        <f t="shared" si="57"/>
        <v>1.5115804326322506E-2</v>
      </c>
      <c r="E1225" s="54">
        <f t="shared" si="58"/>
        <v>9.2420781725971422E-3</v>
      </c>
      <c r="F1225" s="55">
        <f t="shared" si="59"/>
        <v>2025</v>
      </c>
    </row>
    <row r="1226" spans="1:6" x14ac:dyDescent="0.35">
      <c r="A1226" s="69">
        <v>45722</v>
      </c>
      <c r="B1226" s="54">
        <v>2343</v>
      </c>
      <c r="C1226" s="54">
        <v>22544.7</v>
      </c>
      <c r="D1226" s="54">
        <f t="shared" si="57"/>
        <v>-1.7545253906319207E-2</v>
      </c>
      <c r="E1226" s="54">
        <f t="shared" si="58"/>
        <v>3.4591948403792664E-4</v>
      </c>
      <c r="F1226" s="55">
        <f t="shared" si="59"/>
        <v>2025</v>
      </c>
    </row>
    <row r="1227" spans="1:6" x14ac:dyDescent="0.35">
      <c r="A1227" s="69">
        <v>45723</v>
      </c>
      <c r="B1227" s="54">
        <v>2302.25</v>
      </c>
      <c r="C1227" s="54">
        <v>22552.5</v>
      </c>
      <c r="D1227" s="54">
        <f t="shared" si="57"/>
        <v>-1.6312146684341975E-2</v>
      </c>
      <c r="E1227" s="54">
        <f t="shared" si="58"/>
        <v>-4.0966182483126905E-3</v>
      </c>
      <c r="F1227" s="55">
        <f t="shared" si="59"/>
        <v>2025</v>
      </c>
    </row>
    <row r="1228" spans="1:6" x14ac:dyDescent="0.35">
      <c r="A1228" s="69">
        <v>45726</v>
      </c>
      <c r="B1228" s="54">
        <v>2265</v>
      </c>
      <c r="C1228" s="54">
        <v>22460.3</v>
      </c>
      <c r="D1228" s="54">
        <f t="shared" si="57"/>
        <v>5.6572566875525915E-3</v>
      </c>
      <c r="E1228" s="54">
        <f t="shared" si="58"/>
        <v>1.6726652208703832E-3</v>
      </c>
      <c r="F1228" s="55">
        <f t="shared" si="59"/>
        <v>2025</v>
      </c>
    </row>
    <row r="1229" spans="1:6" x14ac:dyDescent="0.35">
      <c r="A1229" s="69">
        <v>45727</v>
      </c>
      <c r="B1229" s="54">
        <v>2277.85</v>
      </c>
      <c r="C1229" s="54">
        <v>22497.9</v>
      </c>
      <c r="D1229" s="54">
        <f t="shared" si="57"/>
        <v>-2.3452628346723507E-2</v>
      </c>
      <c r="E1229" s="54">
        <f t="shared" si="58"/>
        <v>-1.2186336801356743E-3</v>
      </c>
      <c r="F1229" s="55">
        <f t="shared" si="59"/>
        <v>2025</v>
      </c>
    </row>
    <row r="1230" spans="1:6" x14ac:dyDescent="0.35">
      <c r="A1230" s="69">
        <v>45728</v>
      </c>
      <c r="B1230" s="54">
        <v>2225.0500000000002</v>
      </c>
      <c r="C1230" s="54">
        <v>22470.5</v>
      </c>
      <c r="D1230" s="54">
        <f t="shared" si="57"/>
        <v>-8.9838534798784252E-3</v>
      </c>
      <c r="E1230" s="54">
        <f t="shared" si="58"/>
        <v>-3.2673867932358361E-3</v>
      </c>
      <c r="F1230" s="55">
        <f t="shared" si="59"/>
        <v>2025</v>
      </c>
    </row>
    <row r="1231" spans="1:6" x14ac:dyDescent="0.35">
      <c r="A1231" s="69">
        <v>45729</v>
      </c>
      <c r="B1231" s="54">
        <v>2205.15</v>
      </c>
      <c r="C1231" s="54">
        <v>22397.200000000001</v>
      </c>
      <c r="D1231" s="54">
        <f t="shared" si="57"/>
        <v>-2.2472684727497644E-3</v>
      </c>
      <c r="E1231" s="54">
        <f t="shared" si="58"/>
        <v>4.9681714537350846E-3</v>
      </c>
      <c r="F1231" s="55">
        <f t="shared" si="59"/>
        <v>2025</v>
      </c>
    </row>
    <row r="1232" spans="1:6" x14ac:dyDescent="0.35">
      <c r="A1232" s="69">
        <v>45733</v>
      </c>
      <c r="B1232" s="54">
        <v>2200.1999999999998</v>
      </c>
      <c r="C1232" s="54">
        <v>22508.75</v>
      </c>
      <c r="D1232" s="54">
        <f t="shared" si="57"/>
        <v>4.1487167298868706E-2</v>
      </c>
      <c r="E1232" s="54">
        <f t="shared" si="58"/>
        <v>1.4359668968781786E-2</v>
      </c>
      <c r="F1232" s="55">
        <f t="shared" si="59"/>
        <v>2025</v>
      </c>
    </row>
    <row r="1233" spans="1:6" x14ac:dyDescent="0.35">
      <c r="A1233" s="69">
        <v>45734</v>
      </c>
      <c r="B1233" s="54">
        <v>2293.4</v>
      </c>
      <c r="C1233" s="54">
        <v>22834.3</v>
      </c>
      <c r="D1233" s="54">
        <f t="shared" si="57"/>
        <v>-3.2974862002246876E-3</v>
      </c>
      <c r="E1233" s="54">
        <f t="shared" si="58"/>
        <v>3.2049417598595076E-3</v>
      </c>
      <c r="F1233" s="55">
        <f t="shared" si="59"/>
        <v>2025</v>
      </c>
    </row>
    <row r="1234" spans="1:6" x14ac:dyDescent="0.35">
      <c r="A1234" s="69">
        <v>45735</v>
      </c>
      <c r="B1234" s="54">
        <v>2285.85</v>
      </c>
      <c r="C1234" s="54">
        <v>22907.599999999999</v>
      </c>
      <c r="D1234" s="54">
        <f t="shared" si="57"/>
        <v>8.7114256076835303E-3</v>
      </c>
      <c r="E1234" s="54">
        <f t="shared" si="58"/>
        <v>1.228044696739064E-2</v>
      </c>
      <c r="F1234" s="55">
        <f t="shared" si="59"/>
        <v>2025</v>
      </c>
    </row>
    <row r="1235" spans="1:6" x14ac:dyDescent="0.35">
      <c r="A1235" s="69">
        <v>45736</v>
      </c>
      <c r="B1235" s="54">
        <v>2305.85</v>
      </c>
      <c r="C1235" s="54">
        <v>23190.65</v>
      </c>
      <c r="D1235" s="54">
        <f t="shared" si="57"/>
        <v>5.2421308979552321E-2</v>
      </c>
      <c r="E1235" s="54">
        <f t="shared" si="58"/>
        <v>6.8649343915537933E-3</v>
      </c>
      <c r="F1235" s="55">
        <f t="shared" si="59"/>
        <v>2025</v>
      </c>
    </row>
    <row r="1236" spans="1:6" x14ac:dyDescent="0.35">
      <c r="A1236" s="69">
        <v>45737</v>
      </c>
      <c r="B1236" s="54">
        <v>2429.9499999999998</v>
      </c>
      <c r="C1236" s="54">
        <v>23350.400000000001</v>
      </c>
      <c r="D1236" s="54">
        <f t="shared" si="57"/>
        <v>2.1576688383068889E-2</v>
      </c>
      <c r="E1236" s="54">
        <f t="shared" si="58"/>
        <v>1.310200357491904E-2</v>
      </c>
      <c r="F1236" s="55">
        <f t="shared" si="59"/>
        <v>2025</v>
      </c>
    </row>
    <row r="1237" spans="1:6" x14ac:dyDescent="0.35">
      <c r="A1237" s="69">
        <v>45740</v>
      </c>
      <c r="B1237" s="54">
        <v>2482.9499999999998</v>
      </c>
      <c r="C1237" s="54">
        <v>23658.35</v>
      </c>
      <c r="D1237" s="54">
        <f t="shared" si="57"/>
        <v>2.0509553245822609E-2</v>
      </c>
      <c r="E1237" s="54">
        <f t="shared" si="58"/>
        <v>4.3526951476421065E-4</v>
      </c>
      <c r="F1237" s="55">
        <f t="shared" si="59"/>
        <v>2025</v>
      </c>
    </row>
    <row r="1238" spans="1:6" x14ac:dyDescent="0.35">
      <c r="A1238" s="69">
        <v>45741</v>
      </c>
      <c r="B1238" s="54">
        <v>2534.4</v>
      </c>
      <c r="C1238" s="54">
        <v>23668.65</v>
      </c>
      <c r="D1238" s="54">
        <f t="shared" si="57"/>
        <v>-7.6244787176720308E-3</v>
      </c>
      <c r="E1238" s="54">
        <f t="shared" si="58"/>
        <v>-7.710697617041672E-3</v>
      </c>
      <c r="F1238" s="55">
        <f t="shared" si="59"/>
        <v>2025</v>
      </c>
    </row>
    <row r="1239" spans="1:6" x14ac:dyDescent="0.35">
      <c r="A1239" s="69">
        <v>45742</v>
      </c>
      <c r="B1239" s="54">
        <v>2515.15</v>
      </c>
      <c r="C1239" s="54">
        <v>23486.85</v>
      </c>
      <c r="D1239" s="54">
        <f t="shared" si="57"/>
        <v>5.1751431590224143E-3</v>
      </c>
      <c r="E1239" s="54">
        <f t="shared" si="58"/>
        <v>4.4648620864278519E-3</v>
      </c>
      <c r="F1239" s="55">
        <f t="shared" si="59"/>
        <v>2025</v>
      </c>
    </row>
    <row r="1240" spans="1:6" x14ac:dyDescent="0.35">
      <c r="A1240" s="69">
        <v>45743</v>
      </c>
      <c r="B1240" s="54">
        <v>2528.1999999999998</v>
      </c>
      <c r="C1240" s="54">
        <v>23591.95</v>
      </c>
      <c r="D1240" s="54">
        <f t="shared" si="57"/>
        <v>-1.1136858404994508E-2</v>
      </c>
      <c r="E1240" s="54">
        <f t="shared" si="58"/>
        <v>-3.0820655541120134E-3</v>
      </c>
      <c r="F1240" s="55">
        <f t="shared" si="59"/>
        <v>2025</v>
      </c>
    </row>
    <row r="1241" spans="1:6" x14ac:dyDescent="0.35">
      <c r="A1241" s="69">
        <v>45744</v>
      </c>
      <c r="B1241" s="54">
        <v>2500.1999999999998</v>
      </c>
      <c r="C1241" s="54">
        <v>23519.35</v>
      </c>
      <c r="D1241" s="54">
        <f t="shared" si="57"/>
        <v>-2.161011535053382E-2</v>
      </c>
      <c r="E1241" s="54">
        <f t="shared" si="58"/>
        <v>-1.5150750180769317E-2</v>
      </c>
      <c r="F1241" s="55">
        <f t="shared" si="59"/>
        <v>2025</v>
      </c>
    </row>
    <row r="1242" spans="1:6" x14ac:dyDescent="0.35">
      <c r="A1242" s="69">
        <v>45748</v>
      </c>
      <c r="B1242" s="54">
        <v>2446.75</v>
      </c>
      <c r="C1242" s="54">
        <v>23165.7</v>
      </c>
      <c r="D1242" s="54">
        <f t="shared" si="57"/>
        <v>1.1237329064931077E-2</v>
      </c>
      <c r="E1242" s="54">
        <f t="shared" si="58"/>
        <v>7.1680732227189349E-3</v>
      </c>
      <c r="F1242" s="55">
        <f t="shared" si="59"/>
        <v>2025</v>
      </c>
    </row>
    <row r="1243" spans="1:6" x14ac:dyDescent="0.35">
      <c r="A1243" s="69">
        <v>45749</v>
      </c>
      <c r="B1243" s="54">
        <v>2474.4</v>
      </c>
      <c r="C1243" s="54">
        <v>23332.35</v>
      </c>
      <c r="D1243" s="54">
        <f t="shared" si="57"/>
        <v>-4.1400584923457946E-2</v>
      </c>
      <c r="E1243" s="54">
        <f t="shared" si="58"/>
        <v>-3.5313765366867989E-3</v>
      </c>
      <c r="F1243" s="55">
        <f t="shared" si="59"/>
        <v>2025</v>
      </c>
    </row>
    <row r="1244" spans="1:6" x14ac:dyDescent="0.35">
      <c r="A1244" s="69">
        <v>45750</v>
      </c>
      <c r="B1244" s="54">
        <v>2374.0500000000002</v>
      </c>
      <c r="C1244" s="54">
        <v>23250.1</v>
      </c>
      <c r="D1244" s="54">
        <f t="shared" si="57"/>
        <v>-6.2954580752020747E-2</v>
      </c>
      <c r="E1244" s="54">
        <f t="shared" si="58"/>
        <v>-1.4978218273382259E-2</v>
      </c>
      <c r="F1244" s="55">
        <f t="shared" si="59"/>
        <v>2025</v>
      </c>
    </row>
    <row r="1245" spans="1:6" x14ac:dyDescent="0.35">
      <c r="A1245" s="69">
        <v>45751</v>
      </c>
      <c r="B1245" s="54">
        <v>2229.1999999999998</v>
      </c>
      <c r="C1245" s="54">
        <v>22904.45</v>
      </c>
      <c r="D1245" s="54">
        <f t="shared" si="57"/>
        <v>-5.8658361306127255E-2</v>
      </c>
      <c r="E1245" s="54">
        <f t="shared" si="58"/>
        <v>-3.2970153387305259E-2</v>
      </c>
      <c r="F1245" s="55">
        <f t="shared" si="59"/>
        <v>2025</v>
      </c>
    </row>
    <row r="1246" spans="1:6" x14ac:dyDescent="0.35">
      <c r="A1246" s="69">
        <v>45754</v>
      </c>
      <c r="B1246" s="54">
        <v>2102.1999999999998</v>
      </c>
      <c r="C1246" s="54">
        <v>22161.599999999999</v>
      </c>
      <c r="D1246" s="54">
        <f t="shared" si="57"/>
        <v>3.1235711179307669E-2</v>
      </c>
      <c r="E1246" s="54">
        <f t="shared" si="58"/>
        <v>1.6746313096183522E-2</v>
      </c>
      <c r="F1246" s="55">
        <f t="shared" si="59"/>
        <v>2025</v>
      </c>
    </row>
    <row r="1247" spans="1:6" x14ac:dyDescent="0.35">
      <c r="A1247" s="69">
        <v>45755</v>
      </c>
      <c r="B1247" s="54">
        <v>2168.9</v>
      </c>
      <c r="C1247" s="54">
        <v>22535.85</v>
      </c>
      <c r="D1247" s="54">
        <f t="shared" si="57"/>
        <v>-2.3936754655670047E-2</v>
      </c>
      <c r="E1247" s="54">
        <f t="shared" si="58"/>
        <v>-6.0843628224417504E-3</v>
      </c>
      <c r="F1247" s="55">
        <f t="shared" si="59"/>
        <v>2025</v>
      </c>
    </row>
    <row r="1248" spans="1:6" x14ac:dyDescent="0.35">
      <c r="A1248" s="69">
        <v>45756</v>
      </c>
      <c r="B1248" s="54">
        <v>2117.6</v>
      </c>
      <c r="C1248" s="54">
        <v>22399.15</v>
      </c>
      <c r="D1248" s="54">
        <f t="shared" si="57"/>
        <v>2.007944698232686E-2</v>
      </c>
      <c r="E1248" s="54">
        <f t="shared" si="58"/>
        <v>1.8988933890639957E-2</v>
      </c>
      <c r="F1248" s="55">
        <f t="shared" si="59"/>
        <v>2025</v>
      </c>
    </row>
    <row r="1249" spans="1:6" x14ac:dyDescent="0.35">
      <c r="A1249" s="69">
        <v>45758</v>
      </c>
      <c r="B1249" s="54">
        <v>2160.5500000000002</v>
      </c>
      <c r="C1249" s="54">
        <v>22828.55</v>
      </c>
      <c r="D1249" s="54">
        <f t="shared" si="57"/>
        <v>4.928484525620571E-2</v>
      </c>
      <c r="E1249" s="54">
        <f t="shared" si="58"/>
        <v>2.16659867627985E-2</v>
      </c>
      <c r="F1249" s="55">
        <f t="shared" si="59"/>
        <v>2025</v>
      </c>
    </row>
    <row r="1250" spans="1:6" x14ac:dyDescent="0.35">
      <c r="A1250" s="69">
        <v>45762</v>
      </c>
      <c r="B1250" s="54">
        <v>2269.6999999999998</v>
      </c>
      <c r="C1250" s="54">
        <v>23328.55</v>
      </c>
      <c r="D1250" s="54">
        <f t="shared" si="57"/>
        <v>-1.1461824566400452E-3</v>
      </c>
      <c r="E1250" s="54">
        <f t="shared" si="58"/>
        <v>4.6465712828317922E-3</v>
      </c>
      <c r="F1250" s="55">
        <f t="shared" si="59"/>
        <v>2025</v>
      </c>
    </row>
    <row r="1251" spans="1:6" x14ac:dyDescent="0.35">
      <c r="A1251" s="69">
        <v>45763</v>
      </c>
      <c r="B1251" s="54">
        <v>2267.1</v>
      </c>
      <c r="C1251" s="54">
        <v>23437.200000000001</v>
      </c>
      <c r="D1251" s="54">
        <f t="shared" si="57"/>
        <v>2.9069787913090896E-3</v>
      </c>
      <c r="E1251" s="54">
        <f t="shared" si="58"/>
        <v>1.7528893682587383E-2</v>
      </c>
      <c r="F1251" s="55">
        <f t="shared" si="59"/>
        <v>2025</v>
      </c>
    </row>
    <row r="1252" spans="1:6" x14ac:dyDescent="0.35">
      <c r="A1252" s="69">
        <v>45764</v>
      </c>
      <c r="B1252" s="54">
        <v>2273.6999999999998</v>
      </c>
      <c r="C1252" s="54">
        <v>23851.65</v>
      </c>
      <c r="D1252" s="54">
        <f t="shared" si="57"/>
        <v>4.5986101582369855E-2</v>
      </c>
      <c r="E1252" s="54">
        <f t="shared" si="58"/>
        <v>1.1418047561345738E-2</v>
      </c>
      <c r="F1252" s="55">
        <f t="shared" si="59"/>
        <v>2025</v>
      </c>
    </row>
    <row r="1253" spans="1:6" x14ac:dyDescent="0.35">
      <c r="A1253" s="69">
        <v>45768</v>
      </c>
      <c r="B1253" s="54">
        <v>2380.6999999999998</v>
      </c>
      <c r="C1253" s="54">
        <v>24125.55</v>
      </c>
      <c r="D1253" s="54">
        <f t="shared" si="57"/>
        <v>8.8238941581200957E-3</v>
      </c>
      <c r="E1253" s="54">
        <f t="shared" si="58"/>
        <v>1.726965939596701E-3</v>
      </c>
      <c r="F1253" s="55">
        <f t="shared" si="59"/>
        <v>2025</v>
      </c>
    </row>
    <row r="1254" spans="1:6" x14ac:dyDescent="0.35">
      <c r="A1254" s="69">
        <v>45769</v>
      </c>
      <c r="B1254" s="54">
        <v>2401.8000000000002</v>
      </c>
      <c r="C1254" s="54">
        <v>24167.25</v>
      </c>
      <c r="D1254" s="54">
        <f t="shared" si="57"/>
        <v>4.2988020710606097E-2</v>
      </c>
      <c r="E1254" s="54">
        <f t="shared" si="58"/>
        <v>6.6685884351257562E-3</v>
      </c>
      <c r="F1254" s="55">
        <f t="shared" si="59"/>
        <v>2025</v>
      </c>
    </row>
    <row r="1255" spans="1:6" x14ac:dyDescent="0.35">
      <c r="A1255" s="69">
        <v>45770</v>
      </c>
      <c r="B1255" s="54">
        <v>2507.3000000000002</v>
      </c>
      <c r="C1255" s="54">
        <v>24328.95</v>
      </c>
      <c r="D1255" s="54">
        <f t="shared" si="57"/>
        <v>-1.5757853094194748E-2</v>
      </c>
      <c r="E1255" s="54">
        <f t="shared" si="58"/>
        <v>-3.386473618159028E-3</v>
      </c>
      <c r="F1255" s="55">
        <f t="shared" si="59"/>
        <v>2025</v>
      </c>
    </row>
    <row r="1256" spans="1:6" x14ac:dyDescent="0.35">
      <c r="A1256" s="69">
        <v>45771</v>
      </c>
      <c r="B1256" s="54">
        <v>2468.1</v>
      </c>
      <c r="C1256" s="54">
        <v>24246.7</v>
      </c>
      <c r="D1256" s="54">
        <f t="shared" si="57"/>
        <v>2.8164124111082569E-2</v>
      </c>
      <c r="E1256" s="54">
        <f t="shared" si="58"/>
        <v>-8.588454617289994E-3</v>
      </c>
      <c r="F1256" s="55">
        <f t="shared" si="59"/>
        <v>2025</v>
      </c>
    </row>
    <row r="1257" spans="1:6" x14ac:dyDescent="0.35">
      <c r="A1257" s="69">
        <v>45772</v>
      </c>
      <c r="B1257" s="54">
        <v>2538.6</v>
      </c>
      <c r="C1257" s="54">
        <v>24039.35</v>
      </c>
      <c r="D1257" s="54">
        <f t="shared" si="57"/>
        <v>-1.396294006015361E-2</v>
      </c>
      <c r="E1257" s="54">
        <f t="shared" si="58"/>
        <v>1.1956431581801425E-2</v>
      </c>
      <c r="F1257" s="55">
        <f t="shared" si="59"/>
        <v>2025</v>
      </c>
    </row>
    <row r="1258" spans="1:6" x14ac:dyDescent="0.35">
      <c r="A1258" s="69">
        <v>45775</v>
      </c>
      <c r="B1258" s="54">
        <v>2503.4</v>
      </c>
      <c r="C1258" s="54">
        <v>24328.5</v>
      </c>
      <c r="D1258" s="54">
        <f t="shared" si="57"/>
        <v>3.3896309845728467E-3</v>
      </c>
      <c r="E1258" s="54">
        <f t="shared" si="58"/>
        <v>3.0617833174725629E-4</v>
      </c>
      <c r="F1258" s="55">
        <f t="shared" si="59"/>
        <v>2025</v>
      </c>
    </row>
    <row r="1259" spans="1:6" x14ac:dyDescent="0.35">
      <c r="A1259" s="69">
        <v>45776</v>
      </c>
      <c r="B1259" s="54">
        <v>2511.9</v>
      </c>
      <c r="C1259" s="54">
        <v>24335.95</v>
      </c>
      <c r="D1259" s="54">
        <f t="shared" si="57"/>
        <v>-1.7226228533316436E-2</v>
      </c>
      <c r="E1259" s="54">
        <f t="shared" si="58"/>
        <v>-7.1912661076828911E-5</v>
      </c>
      <c r="F1259" s="55">
        <f t="shared" si="59"/>
        <v>2025</v>
      </c>
    </row>
    <row r="1260" spans="1:6" x14ac:dyDescent="0.35">
      <c r="A1260" s="69">
        <v>45777</v>
      </c>
      <c r="B1260" s="54">
        <v>2469</v>
      </c>
      <c r="C1260" s="54">
        <v>24334.2</v>
      </c>
      <c r="D1260" s="54">
        <f t="shared" si="57"/>
        <v>-3.3673480507251312E-3</v>
      </c>
      <c r="E1260" s="54">
        <f t="shared" si="58"/>
        <v>5.1354844609369319E-4</v>
      </c>
      <c r="F1260" s="55">
        <f t="shared" si="59"/>
        <v>2025</v>
      </c>
    </row>
    <row r="1261" spans="1:6" x14ac:dyDescent="0.35">
      <c r="A1261" s="69">
        <v>45779</v>
      </c>
      <c r="B1261" s="54">
        <v>2460.6999999999998</v>
      </c>
      <c r="C1261" s="54">
        <v>24346.7</v>
      </c>
      <c r="D1261" s="54">
        <f t="shared" si="57"/>
        <v>-1.8711362439422514E-3</v>
      </c>
      <c r="E1261" s="54">
        <f t="shared" si="58"/>
        <v>4.6898279589179014E-3</v>
      </c>
      <c r="F1261" s="55">
        <f t="shared" si="59"/>
        <v>2025</v>
      </c>
    </row>
    <row r="1262" spans="1:6" x14ac:dyDescent="0.35">
      <c r="A1262" s="69">
        <v>45782</v>
      </c>
      <c r="B1262" s="54">
        <v>2456.1</v>
      </c>
      <c r="C1262" s="54">
        <v>24461.15</v>
      </c>
      <c r="D1262" s="54">
        <f t="shared" si="57"/>
        <v>-4.0888158510273227E-2</v>
      </c>
      <c r="E1262" s="54">
        <f t="shared" si="58"/>
        <v>-3.3394276617622325E-3</v>
      </c>
      <c r="F1262" s="55">
        <f t="shared" si="59"/>
        <v>2025</v>
      </c>
    </row>
    <row r="1263" spans="1:6" x14ac:dyDescent="0.35">
      <c r="A1263" s="69">
        <v>45783</v>
      </c>
      <c r="B1263" s="54">
        <v>2357.6999999999998</v>
      </c>
      <c r="C1263" s="54">
        <v>24379.599999999999</v>
      </c>
      <c r="D1263" s="54">
        <f t="shared" si="57"/>
        <v>1.8698416580150985E-2</v>
      </c>
      <c r="E1263" s="54">
        <f t="shared" si="58"/>
        <v>1.4264051276974533E-3</v>
      </c>
      <c r="F1263" s="55">
        <f t="shared" si="59"/>
        <v>2025</v>
      </c>
    </row>
    <row r="1264" spans="1:6" x14ac:dyDescent="0.35">
      <c r="A1264" s="69">
        <v>45784</v>
      </c>
      <c r="B1264" s="54">
        <v>2402.1999999999998</v>
      </c>
      <c r="C1264" s="54">
        <v>24414.400000000001</v>
      </c>
      <c r="D1264" s="54">
        <f t="shared" si="57"/>
        <v>-1.1429652801257576E-2</v>
      </c>
      <c r="E1264" s="54">
        <f t="shared" si="58"/>
        <v>-5.7755427734603581E-3</v>
      </c>
      <c r="F1264" s="55">
        <f t="shared" si="59"/>
        <v>2025</v>
      </c>
    </row>
    <row r="1265" spans="1:6" x14ac:dyDescent="0.35">
      <c r="A1265" s="69">
        <v>45785</v>
      </c>
      <c r="B1265" s="54">
        <v>2374.9</v>
      </c>
      <c r="C1265" s="54">
        <v>24273.8</v>
      </c>
      <c r="D1265" s="54">
        <f t="shared" si="57"/>
        <v>5.2076888933735828E-3</v>
      </c>
      <c r="E1265" s="54">
        <f t="shared" si="58"/>
        <v>-1.1010471243807775E-2</v>
      </c>
      <c r="F1265" s="55">
        <f t="shared" si="59"/>
        <v>2025</v>
      </c>
    </row>
    <row r="1266" spans="1:6" x14ac:dyDescent="0.35">
      <c r="A1266" s="69">
        <v>45786</v>
      </c>
      <c r="B1266" s="54">
        <v>2387.3000000000002</v>
      </c>
      <c r="C1266" s="54">
        <v>24008</v>
      </c>
      <c r="D1266" s="54">
        <f t="shared" si="57"/>
        <v>5.9004449457465601E-2</v>
      </c>
      <c r="E1266" s="54">
        <f t="shared" si="58"/>
        <v>3.7472171529076455E-2</v>
      </c>
      <c r="F1266" s="55">
        <f t="shared" si="59"/>
        <v>2025</v>
      </c>
    </row>
    <row r="1267" spans="1:6" x14ac:dyDescent="0.35">
      <c r="A1267" s="69">
        <v>45789</v>
      </c>
      <c r="B1267" s="54">
        <v>2532.4</v>
      </c>
      <c r="C1267" s="54">
        <v>24924.7</v>
      </c>
      <c r="D1267" s="54">
        <f t="shared" si="57"/>
        <v>-1.6643824382923406E-2</v>
      </c>
      <c r="E1267" s="54">
        <f t="shared" si="58"/>
        <v>-1.3993305528556882E-2</v>
      </c>
      <c r="F1267" s="55">
        <f t="shared" si="59"/>
        <v>2025</v>
      </c>
    </row>
    <row r="1268" spans="1:6" x14ac:dyDescent="0.35">
      <c r="A1268" s="69">
        <v>45790</v>
      </c>
      <c r="B1268" s="54">
        <v>2490.6</v>
      </c>
      <c r="C1268" s="54">
        <v>24578.35</v>
      </c>
      <c r="D1268" s="54">
        <f t="shared" si="57"/>
        <v>3.200462798048366E-2</v>
      </c>
      <c r="E1268" s="54">
        <f t="shared" si="58"/>
        <v>3.5962898121936287E-3</v>
      </c>
      <c r="F1268" s="55">
        <f t="shared" si="59"/>
        <v>2025</v>
      </c>
    </row>
    <row r="1269" spans="1:6" x14ac:dyDescent="0.35">
      <c r="A1269" s="69">
        <v>45791</v>
      </c>
      <c r="B1269" s="54">
        <v>2571.6</v>
      </c>
      <c r="C1269" s="54">
        <v>24666.9</v>
      </c>
      <c r="D1269" s="54">
        <f t="shared" si="57"/>
        <v>2.0285920529648029E-2</v>
      </c>
      <c r="E1269" s="54">
        <f t="shared" si="58"/>
        <v>1.5894480888894447E-2</v>
      </c>
      <c r="F1269" s="55">
        <f t="shared" si="59"/>
        <v>2025</v>
      </c>
    </row>
    <row r="1270" spans="1:6" x14ac:dyDescent="0.35">
      <c r="A1270" s="69">
        <v>45792</v>
      </c>
      <c r="B1270" s="54">
        <v>2624.3</v>
      </c>
      <c r="C1270" s="54">
        <v>25062.1</v>
      </c>
      <c r="D1270" s="54">
        <f t="shared" si="57"/>
        <v>-9.1489144668659966E-3</v>
      </c>
      <c r="E1270" s="54">
        <f t="shared" si="58"/>
        <v>-1.6892334379733957E-3</v>
      </c>
      <c r="F1270" s="55">
        <f t="shared" si="59"/>
        <v>2025</v>
      </c>
    </row>
    <row r="1271" spans="1:6" x14ac:dyDescent="0.35">
      <c r="A1271" s="69">
        <v>45793</v>
      </c>
      <c r="B1271" s="54">
        <v>2600.4</v>
      </c>
      <c r="C1271" s="54">
        <v>25019.8</v>
      </c>
      <c r="D1271" s="54">
        <f t="shared" si="57"/>
        <v>-2.5668900417909618E-2</v>
      </c>
      <c r="E1271" s="54">
        <f t="shared" si="58"/>
        <v>-2.976070564100508E-3</v>
      </c>
      <c r="F1271" s="55">
        <f t="shared" si="59"/>
        <v>2025</v>
      </c>
    </row>
    <row r="1272" spans="1:6" x14ac:dyDescent="0.35">
      <c r="A1272" s="69">
        <v>45796</v>
      </c>
      <c r="B1272" s="54">
        <v>2534.5</v>
      </c>
      <c r="C1272" s="54">
        <v>24945.45</v>
      </c>
      <c r="D1272" s="54">
        <f t="shared" si="57"/>
        <v>-8.289092424325048E-4</v>
      </c>
      <c r="E1272" s="54">
        <f t="shared" si="58"/>
        <v>-1.0540231594245037E-2</v>
      </c>
      <c r="F1272" s="55">
        <f t="shared" si="59"/>
        <v>2025</v>
      </c>
    </row>
    <row r="1273" spans="1:6" x14ac:dyDescent="0.35">
      <c r="A1273" s="69">
        <v>45797</v>
      </c>
      <c r="B1273" s="54">
        <v>2532.4</v>
      </c>
      <c r="C1273" s="54">
        <v>24683.9</v>
      </c>
      <c r="D1273" s="54">
        <f t="shared" si="57"/>
        <v>9.9018490756601109E-3</v>
      </c>
      <c r="E1273" s="54">
        <f t="shared" si="58"/>
        <v>5.2346356247726386E-3</v>
      </c>
      <c r="F1273" s="55">
        <f t="shared" si="59"/>
        <v>2025</v>
      </c>
    </row>
    <row r="1274" spans="1:6" x14ac:dyDescent="0.35">
      <c r="A1274" s="69">
        <v>45798</v>
      </c>
      <c r="B1274" s="54">
        <v>2557.6</v>
      </c>
      <c r="C1274" s="54">
        <v>24813.45</v>
      </c>
      <c r="D1274" s="54">
        <f t="shared" si="57"/>
        <v>-5.449604767564703E-3</v>
      </c>
      <c r="E1274" s="54">
        <f t="shared" si="58"/>
        <v>-8.2451707060623922E-3</v>
      </c>
      <c r="F1274" s="55">
        <f t="shared" si="59"/>
        <v>2025</v>
      </c>
    </row>
    <row r="1275" spans="1:6" x14ac:dyDescent="0.35">
      <c r="A1275" s="69">
        <v>45799</v>
      </c>
      <c r="B1275" s="54">
        <v>2543.6999999999998</v>
      </c>
      <c r="C1275" s="54">
        <v>24609.7</v>
      </c>
      <c r="D1275" s="54">
        <f t="shared" si="57"/>
        <v>-9.0460370763293947E-4</v>
      </c>
      <c r="E1275" s="54">
        <f t="shared" si="58"/>
        <v>9.8438309105117507E-3</v>
      </c>
      <c r="F1275" s="55">
        <f t="shared" si="59"/>
        <v>2025</v>
      </c>
    </row>
    <row r="1276" spans="1:6" x14ac:dyDescent="0.35">
      <c r="A1276" s="69">
        <v>45800</v>
      </c>
      <c r="B1276" s="54">
        <v>2541.4</v>
      </c>
      <c r="C1276" s="54">
        <v>24853.15</v>
      </c>
      <c r="D1276" s="54">
        <f t="shared" si="57"/>
        <v>1.808389846917853E-3</v>
      </c>
      <c r="E1276" s="54">
        <f t="shared" si="58"/>
        <v>5.9373187376564407E-3</v>
      </c>
      <c r="F1276" s="55">
        <f t="shared" si="59"/>
        <v>2025</v>
      </c>
    </row>
    <row r="1277" spans="1:6" x14ac:dyDescent="0.35">
      <c r="A1277" s="69">
        <v>45803</v>
      </c>
      <c r="B1277" s="54">
        <v>2546</v>
      </c>
      <c r="C1277" s="54">
        <v>25001.15</v>
      </c>
      <c r="D1277" s="54">
        <f t="shared" si="57"/>
        <v>-3.2259361545376075E-3</v>
      </c>
      <c r="E1277" s="54">
        <f t="shared" si="58"/>
        <v>-7.0222766786781181E-3</v>
      </c>
      <c r="F1277" s="55">
        <f t="shared" si="59"/>
        <v>2025</v>
      </c>
    </row>
    <row r="1278" spans="1:6" x14ac:dyDescent="0.35">
      <c r="A1278" s="69">
        <v>45804</v>
      </c>
      <c r="B1278" s="54">
        <v>2537.8000000000002</v>
      </c>
      <c r="C1278" s="54">
        <v>24826.2</v>
      </c>
      <c r="D1278" s="54">
        <f t="shared" si="57"/>
        <v>-2.4855515528504168E-3</v>
      </c>
      <c r="E1278" s="54">
        <f t="shared" si="58"/>
        <v>-2.9750731170425774E-3</v>
      </c>
      <c r="F1278" s="55">
        <f t="shared" si="59"/>
        <v>2025</v>
      </c>
    </row>
    <row r="1279" spans="1:6" x14ac:dyDescent="0.35">
      <c r="A1279" s="69">
        <v>45805</v>
      </c>
      <c r="B1279" s="54">
        <v>2531.5</v>
      </c>
      <c r="C1279" s="54">
        <v>24752.45</v>
      </c>
      <c r="D1279" s="54">
        <f t="shared" si="57"/>
        <v>1.3692126262231635E-2</v>
      </c>
      <c r="E1279" s="54">
        <f t="shared" si="58"/>
        <v>3.2731009002705618E-3</v>
      </c>
      <c r="F1279" s="55">
        <f t="shared" si="59"/>
        <v>2025</v>
      </c>
    </row>
    <row r="1280" spans="1:6" x14ac:dyDescent="0.35">
      <c r="A1280" s="69">
        <v>45806</v>
      </c>
      <c r="B1280" s="54">
        <v>2566.4</v>
      </c>
      <c r="C1280" s="54">
        <v>24833.599999999999</v>
      </c>
      <c r="D1280" s="54">
        <f t="shared" si="57"/>
        <v>-2.9657400962127462E-3</v>
      </c>
      <c r="E1280" s="54">
        <f t="shared" si="58"/>
        <v>-3.3438034717525197E-3</v>
      </c>
      <c r="F1280" s="55">
        <f t="shared" si="59"/>
        <v>2025</v>
      </c>
    </row>
    <row r="1281" spans="1:6" x14ac:dyDescent="0.35">
      <c r="A1281" s="69">
        <v>45807</v>
      </c>
      <c r="B1281" s="54">
        <v>2558.8000000000002</v>
      </c>
      <c r="C1281" s="54">
        <v>24750.7</v>
      </c>
      <c r="D1281" s="54">
        <f t="shared" si="57"/>
        <v>-2.6814018599298967E-2</v>
      </c>
      <c r="E1281" s="54">
        <f t="shared" si="58"/>
        <v>-1.3786887661705169E-3</v>
      </c>
      <c r="F1281" s="55">
        <f t="shared" si="59"/>
        <v>2025</v>
      </c>
    </row>
    <row r="1282" spans="1:6" x14ac:dyDescent="0.35">
      <c r="A1282" s="69">
        <v>45810</v>
      </c>
      <c r="B1282" s="54">
        <v>2491.1</v>
      </c>
      <c r="C1282" s="54">
        <v>24716.6</v>
      </c>
      <c r="D1282" s="54">
        <f t="shared" ref="D1282:D1345" si="60">LN(B1283/B1282)</f>
        <v>4.1261951381226149E-3</v>
      </c>
      <c r="E1282" s="54">
        <f t="shared" ref="E1282:E1345" si="61">LN(C1283/C1282)</f>
        <v>-7.0687740923206172E-3</v>
      </c>
      <c r="F1282" s="55">
        <f t="shared" ref="F1282:F1345" si="62">YEAR(A1282)</f>
        <v>2025</v>
      </c>
    </row>
    <row r="1283" spans="1:6" x14ac:dyDescent="0.35">
      <c r="A1283" s="69">
        <v>45811</v>
      </c>
      <c r="B1283" s="54">
        <v>2501.4</v>
      </c>
      <c r="C1283" s="54">
        <v>24542.5</v>
      </c>
      <c r="D1283" s="54">
        <f t="shared" si="60"/>
        <v>7.5928630738386659E-4</v>
      </c>
      <c r="E1283" s="54">
        <f t="shared" si="61"/>
        <v>3.1609356156210005E-3</v>
      </c>
      <c r="F1283" s="55">
        <f t="shared" si="62"/>
        <v>2025</v>
      </c>
    </row>
    <row r="1284" spans="1:6" x14ac:dyDescent="0.35">
      <c r="A1284" s="69">
        <v>45812</v>
      </c>
      <c r="B1284" s="54">
        <v>2503.3000000000002</v>
      </c>
      <c r="C1284" s="54">
        <v>24620.2</v>
      </c>
      <c r="D1284" s="54">
        <f t="shared" si="60"/>
        <v>1.0530386791251562E-2</v>
      </c>
      <c r="E1284" s="54">
        <f t="shared" si="61"/>
        <v>5.2946077897617046E-3</v>
      </c>
      <c r="F1284" s="55">
        <f t="shared" si="62"/>
        <v>2025</v>
      </c>
    </row>
    <row r="1285" spans="1:6" x14ac:dyDescent="0.35">
      <c r="A1285" s="69">
        <v>45813</v>
      </c>
      <c r="B1285" s="54">
        <v>2529.8000000000002</v>
      </c>
      <c r="C1285" s="54">
        <v>24750.9</v>
      </c>
      <c r="D1285" s="54">
        <f t="shared" si="60"/>
        <v>6.0689841451954931E-3</v>
      </c>
      <c r="E1285" s="54">
        <f t="shared" si="61"/>
        <v>1.0135965436883998E-2</v>
      </c>
      <c r="F1285" s="55">
        <f t="shared" si="62"/>
        <v>2025</v>
      </c>
    </row>
    <row r="1286" spans="1:6" x14ac:dyDescent="0.35">
      <c r="A1286" s="69">
        <v>45814</v>
      </c>
      <c r="B1286" s="54">
        <v>2545.1999999999998</v>
      </c>
      <c r="C1286" s="54">
        <v>25003.05</v>
      </c>
      <c r="D1286" s="54">
        <f t="shared" si="60"/>
        <v>2.245539363592846E-2</v>
      </c>
      <c r="E1286" s="54">
        <f t="shared" si="61"/>
        <v>3.9975106246084267E-3</v>
      </c>
      <c r="F1286" s="55">
        <f t="shared" si="62"/>
        <v>2025</v>
      </c>
    </row>
    <row r="1287" spans="1:6" x14ac:dyDescent="0.35">
      <c r="A1287" s="69">
        <v>45817</v>
      </c>
      <c r="B1287" s="54">
        <v>2603</v>
      </c>
      <c r="C1287" s="54">
        <v>25103.200000000001</v>
      </c>
      <c r="D1287" s="54">
        <f t="shared" si="60"/>
        <v>2.5938053548439713E-2</v>
      </c>
      <c r="E1287" s="54">
        <f t="shared" si="61"/>
        <v>4.1826462015294284E-5</v>
      </c>
      <c r="F1287" s="55">
        <f t="shared" si="62"/>
        <v>2025</v>
      </c>
    </row>
    <row r="1288" spans="1:6" x14ac:dyDescent="0.35">
      <c r="A1288" s="69">
        <v>45818</v>
      </c>
      <c r="B1288" s="54">
        <v>2671.4</v>
      </c>
      <c r="C1288" s="54">
        <v>25104.25</v>
      </c>
      <c r="D1288" s="54">
        <f t="shared" si="60"/>
        <v>3.1768008328980062E-3</v>
      </c>
      <c r="E1288" s="54">
        <f t="shared" si="61"/>
        <v>1.4787352445249067E-3</v>
      </c>
      <c r="F1288" s="55">
        <f t="shared" si="62"/>
        <v>2025</v>
      </c>
    </row>
    <row r="1289" spans="1:6" x14ac:dyDescent="0.35">
      <c r="A1289" s="69">
        <v>45819</v>
      </c>
      <c r="B1289" s="54">
        <v>2679.9</v>
      </c>
      <c r="C1289" s="54">
        <v>25141.4</v>
      </c>
      <c r="D1289" s="54">
        <f t="shared" si="60"/>
        <v>-5.8381214433349459E-3</v>
      </c>
      <c r="E1289" s="54">
        <f t="shared" si="61"/>
        <v>-1.0122094193621185E-2</v>
      </c>
      <c r="F1289" s="55">
        <f t="shared" si="62"/>
        <v>2025</v>
      </c>
    </row>
    <row r="1290" spans="1:6" x14ac:dyDescent="0.35">
      <c r="A1290" s="69">
        <v>45820</v>
      </c>
      <c r="B1290" s="54">
        <v>2664.3</v>
      </c>
      <c r="C1290" s="54">
        <v>24888.2</v>
      </c>
      <c r="D1290" s="54">
        <f t="shared" si="60"/>
        <v>-7.5727968565719164E-3</v>
      </c>
      <c r="E1290" s="54">
        <f t="shared" si="61"/>
        <v>-6.8377988828330826E-3</v>
      </c>
      <c r="F1290" s="55">
        <f t="shared" si="62"/>
        <v>2025</v>
      </c>
    </row>
    <row r="1291" spans="1:6" x14ac:dyDescent="0.35">
      <c r="A1291" s="69">
        <v>45821</v>
      </c>
      <c r="B1291" s="54">
        <v>2644.2</v>
      </c>
      <c r="C1291" s="54">
        <v>24718.6</v>
      </c>
      <c r="D1291" s="54">
        <f t="shared" si="60"/>
        <v>2.3620202675689667E-2</v>
      </c>
      <c r="E1291" s="54">
        <f t="shared" si="61"/>
        <v>9.177535114667245E-3</v>
      </c>
      <c r="F1291" s="55">
        <f t="shared" si="62"/>
        <v>2025</v>
      </c>
    </row>
    <row r="1292" spans="1:6" x14ac:dyDescent="0.35">
      <c r="A1292" s="69">
        <v>45824</v>
      </c>
      <c r="B1292" s="54">
        <v>2707.4</v>
      </c>
      <c r="C1292" s="54">
        <v>24946.5</v>
      </c>
      <c r="D1292" s="54">
        <f t="shared" si="60"/>
        <v>-5.1844287357443722E-3</v>
      </c>
      <c r="E1292" s="54">
        <f t="shared" si="61"/>
        <v>-3.7389676871053394E-3</v>
      </c>
      <c r="F1292" s="55">
        <f t="shared" si="62"/>
        <v>2025</v>
      </c>
    </row>
    <row r="1293" spans="1:6" x14ac:dyDescent="0.35">
      <c r="A1293" s="69">
        <v>45825</v>
      </c>
      <c r="B1293" s="54">
        <v>2693.4</v>
      </c>
      <c r="C1293" s="54">
        <v>24853.4</v>
      </c>
      <c r="D1293" s="54">
        <f t="shared" si="60"/>
        <v>-2.2301525746320737E-3</v>
      </c>
      <c r="E1293" s="54">
        <f t="shared" si="61"/>
        <v>-1.6651418462635466E-3</v>
      </c>
      <c r="F1293" s="55">
        <f t="shared" si="62"/>
        <v>2025</v>
      </c>
    </row>
    <row r="1294" spans="1:6" x14ac:dyDescent="0.35">
      <c r="A1294" s="69">
        <v>45826</v>
      </c>
      <c r="B1294" s="54">
        <v>2687.4</v>
      </c>
      <c r="C1294" s="54">
        <v>24812.05</v>
      </c>
      <c r="D1294" s="54">
        <f t="shared" si="60"/>
        <v>-1.4656258750224105E-2</v>
      </c>
      <c r="E1294" s="54">
        <f t="shared" si="61"/>
        <v>-7.5798355821293751E-4</v>
      </c>
      <c r="F1294" s="55">
        <f t="shared" si="62"/>
        <v>2025</v>
      </c>
    </row>
    <row r="1295" spans="1:6" x14ac:dyDescent="0.35">
      <c r="A1295" s="69">
        <v>45827</v>
      </c>
      <c r="B1295" s="54">
        <v>2648.3</v>
      </c>
      <c r="C1295" s="54">
        <v>24793.25</v>
      </c>
      <c r="D1295" s="54">
        <f t="shared" si="60"/>
        <v>1.7888359641352089E-2</v>
      </c>
      <c r="E1295" s="54">
        <f t="shared" si="61"/>
        <v>1.2790309347901757E-2</v>
      </c>
      <c r="F1295" s="55">
        <f t="shared" si="62"/>
        <v>2025</v>
      </c>
    </row>
    <row r="1296" spans="1:6" x14ac:dyDescent="0.35">
      <c r="A1296" s="69">
        <v>45828</v>
      </c>
      <c r="B1296" s="54">
        <v>2696.1</v>
      </c>
      <c r="C1296" s="54">
        <v>25112.400000000001</v>
      </c>
      <c r="D1296" s="54">
        <f t="shared" si="60"/>
        <v>-8.5300276955223454E-3</v>
      </c>
      <c r="E1296" s="54">
        <f t="shared" si="61"/>
        <v>-5.610555346030624E-3</v>
      </c>
      <c r="F1296" s="55">
        <f t="shared" si="62"/>
        <v>2025</v>
      </c>
    </row>
    <row r="1297" spans="1:6" x14ac:dyDescent="0.35">
      <c r="A1297" s="69">
        <v>45831</v>
      </c>
      <c r="B1297" s="54">
        <v>2673.2</v>
      </c>
      <c r="C1297" s="54">
        <v>24971.9</v>
      </c>
      <c r="D1297" s="54">
        <f t="shared" si="60"/>
        <v>3.5847685886671661E-3</v>
      </c>
      <c r="E1297" s="54">
        <f t="shared" si="61"/>
        <v>2.8970604822426802E-3</v>
      </c>
      <c r="F1297" s="55">
        <f t="shared" si="62"/>
        <v>2025</v>
      </c>
    </row>
    <row r="1298" spans="1:6" x14ac:dyDescent="0.35">
      <c r="A1298" s="69">
        <v>45832</v>
      </c>
      <c r="B1298" s="54">
        <v>2682.8</v>
      </c>
      <c r="C1298" s="54">
        <v>25044.35</v>
      </c>
      <c r="D1298" s="54">
        <f t="shared" si="60"/>
        <v>2.56848943198499E-2</v>
      </c>
      <c r="E1298" s="54">
        <f t="shared" si="61"/>
        <v>7.969960122065977E-3</v>
      </c>
      <c r="F1298" s="55">
        <f t="shared" si="62"/>
        <v>2025</v>
      </c>
    </row>
    <row r="1299" spans="1:6" x14ac:dyDescent="0.35">
      <c r="A1299" s="69">
        <v>45833</v>
      </c>
      <c r="B1299" s="54">
        <v>2752.6</v>
      </c>
      <c r="C1299" s="54">
        <v>25244.75</v>
      </c>
      <c r="D1299" s="54">
        <f t="shared" si="60"/>
        <v>1.796595640088295E-2</v>
      </c>
      <c r="E1299" s="54">
        <f t="shared" si="61"/>
        <v>1.1979963629751521E-2</v>
      </c>
      <c r="F1299" s="55">
        <f t="shared" si="62"/>
        <v>2025</v>
      </c>
    </row>
    <row r="1300" spans="1:6" x14ac:dyDescent="0.35">
      <c r="A1300" s="69">
        <v>45834</v>
      </c>
      <c r="B1300" s="54">
        <v>2802.5</v>
      </c>
      <c r="C1300" s="54">
        <v>25549</v>
      </c>
      <c r="D1300" s="54">
        <f t="shared" si="60"/>
        <v>-8.9245878301972236E-4</v>
      </c>
      <c r="E1300" s="54">
        <f t="shared" si="61"/>
        <v>3.4696479984903748E-3</v>
      </c>
      <c r="F1300" s="55">
        <f t="shared" si="62"/>
        <v>2025</v>
      </c>
    </row>
    <row r="1301" spans="1:6" x14ac:dyDescent="0.35">
      <c r="A1301" s="69">
        <v>45835</v>
      </c>
      <c r="B1301" s="54">
        <v>2800</v>
      </c>
      <c r="C1301" s="54">
        <v>25637.8</v>
      </c>
      <c r="D1301" s="54">
        <f t="shared" si="60"/>
        <v>1.6084238053771353E-2</v>
      </c>
      <c r="E1301" s="54">
        <f t="shared" si="61"/>
        <v>-4.7209687553906882E-3</v>
      </c>
      <c r="F1301" s="55">
        <f t="shared" si="62"/>
        <v>2025</v>
      </c>
    </row>
    <row r="1302" spans="1:6" x14ac:dyDescent="0.35">
      <c r="A1302" s="69">
        <v>45838</v>
      </c>
      <c r="B1302" s="54">
        <v>2845.4</v>
      </c>
      <c r="C1302" s="54">
        <v>25517.05</v>
      </c>
      <c r="D1302" s="54">
        <f t="shared" si="60"/>
        <v>1.2607336659654326E-2</v>
      </c>
      <c r="E1302" s="54">
        <f t="shared" si="61"/>
        <v>9.6946961940914944E-4</v>
      </c>
      <c r="F1302" s="55">
        <f t="shared" si="62"/>
        <v>2025</v>
      </c>
    </row>
    <row r="1303" spans="1:6" x14ac:dyDescent="0.35">
      <c r="A1303" s="69">
        <v>45839</v>
      </c>
      <c r="B1303" s="54">
        <v>2881.5</v>
      </c>
      <c r="C1303" s="54">
        <v>25541.8</v>
      </c>
      <c r="D1303" s="54">
        <f t="shared" si="60"/>
        <v>2.4263443445991114E-3</v>
      </c>
      <c r="E1303" s="54">
        <f t="shared" si="61"/>
        <v>-3.4669964446766102E-3</v>
      </c>
      <c r="F1303" s="55">
        <f t="shared" si="62"/>
        <v>2025</v>
      </c>
    </row>
    <row r="1304" spans="1:6" x14ac:dyDescent="0.35">
      <c r="A1304" s="69">
        <v>45840</v>
      </c>
      <c r="B1304" s="54">
        <v>2888.5</v>
      </c>
      <c r="C1304" s="54">
        <v>25453.4</v>
      </c>
      <c r="D1304" s="54">
        <f t="shared" si="60"/>
        <v>-1.9752921710342293E-3</v>
      </c>
      <c r="E1304" s="54">
        <f t="shared" si="61"/>
        <v>-1.8915156833006601E-3</v>
      </c>
      <c r="F1304" s="55">
        <f t="shared" si="62"/>
        <v>2025</v>
      </c>
    </row>
    <row r="1305" spans="1:6" x14ac:dyDescent="0.35">
      <c r="A1305" s="69">
        <v>45841</v>
      </c>
      <c r="B1305" s="54">
        <v>2882.8</v>
      </c>
      <c r="C1305" s="54">
        <v>25405.3</v>
      </c>
      <c r="D1305" s="54">
        <f t="shared" si="60"/>
        <v>1.4258894933051462E-2</v>
      </c>
      <c r="E1305" s="54">
        <f t="shared" si="61"/>
        <v>2.1900559806014813E-3</v>
      </c>
      <c r="F1305" s="55">
        <f t="shared" si="62"/>
        <v>2025</v>
      </c>
    </row>
    <row r="1306" spans="1:6" x14ac:dyDescent="0.35">
      <c r="A1306" s="69">
        <v>45842</v>
      </c>
      <c r="B1306" s="54">
        <v>2924.2</v>
      </c>
      <c r="C1306" s="54">
        <v>25461</v>
      </c>
      <c r="D1306" s="54">
        <f t="shared" si="60"/>
        <v>-1.7107404866206086E-2</v>
      </c>
      <c r="E1306" s="54">
        <f t="shared" si="61"/>
        <v>1.1782657107136236E-5</v>
      </c>
      <c r="F1306" s="55">
        <f t="shared" si="62"/>
        <v>2025</v>
      </c>
    </row>
    <row r="1307" spans="1:6" x14ac:dyDescent="0.35">
      <c r="A1307" s="69">
        <v>45845</v>
      </c>
      <c r="B1307" s="54">
        <v>2874.6</v>
      </c>
      <c r="C1307" s="54">
        <v>25461.3</v>
      </c>
      <c r="D1307" s="54">
        <f t="shared" si="60"/>
        <v>1.2102080555647753E-2</v>
      </c>
      <c r="E1307" s="54">
        <f t="shared" si="61"/>
        <v>2.4007637482767337E-3</v>
      </c>
      <c r="F1307" s="55">
        <f t="shared" si="62"/>
        <v>2025</v>
      </c>
    </row>
    <row r="1308" spans="1:6" x14ac:dyDescent="0.35">
      <c r="A1308" s="69">
        <v>45846</v>
      </c>
      <c r="B1308" s="54">
        <v>2909.6</v>
      </c>
      <c r="C1308" s="54">
        <v>25522.5</v>
      </c>
      <c r="D1308" s="54">
        <f t="shared" si="60"/>
        <v>-1.5831282402944999E-2</v>
      </c>
      <c r="E1308" s="54">
        <f t="shared" si="61"/>
        <v>-1.8196582966253595E-3</v>
      </c>
      <c r="F1308" s="55">
        <f t="shared" si="62"/>
        <v>2025</v>
      </c>
    </row>
    <row r="1309" spans="1:6" x14ac:dyDescent="0.35">
      <c r="A1309" s="69">
        <v>45847</v>
      </c>
      <c r="B1309" s="54">
        <v>2863.9</v>
      </c>
      <c r="C1309" s="54">
        <v>25476.1</v>
      </c>
      <c r="D1309" s="54">
        <f t="shared" si="60"/>
        <v>-9.781660168578744E-4</v>
      </c>
      <c r="E1309" s="54">
        <f t="shared" si="61"/>
        <v>-4.7549485778671007E-3</v>
      </c>
      <c r="F1309" s="55">
        <f t="shared" si="62"/>
        <v>2025</v>
      </c>
    </row>
    <row r="1310" spans="1:6" x14ac:dyDescent="0.35">
      <c r="A1310" s="69">
        <v>45848</v>
      </c>
      <c r="B1310" s="54">
        <v>2861.1</v>
      </c>
      <c r="C1310" s="54">
        <v>25355.25</v>
      </c>
      <c r="D1310" s="54">
        <f t="shared" si="60"/>
        <v>-7.8247386021485076E-3</v>
      </c>
      <c r="E1310" s="54">
        <f t="shared" si="61"/>
        <v>-8.1338768732905544E-3</v>
      </c>
      <c r="F1310" s="55">
        <f t="shared" si="62"/>
        <v>2025</v>
      </c>
    </row>
    <row r="1311" spans="1:6" x14ac:dyDescent="0.35">
      <c r="A1311" s="69">
        <v>45849</v>
      </c>
      <c r="B1311" s="54">
        <v>2838.8</v>
      </c>
      <c r="C1311" s="54">
        <v>25149.85</v>
      </c>
      <c r="D1311" s="54">
        <f t="shared" si="60"/>
        <v>-3.2814100682494042E-3</v>
      </c>
      <c r="E1311" s="54">
        <f t="shared" si="61"/>
        <v>-2.6895142142431107E-3</v>
      </c>
      <c r="F1311" s="55">
        <f t="shared" si="62"/>
        <v>2025</v>
      </c>
    </row>
    <row r="1312" spans="1:6" x14ac:dyDescent="0.35">
      <c r="A1312" s="69">
        <v>45852</v>
      </c>
      <c r="B1312" s="54">
        <v>2829.5</v>
      </c>
      <c r="C1312" s="54">
        <v>25082.3</v>
      </c>
      <c r="D1312" s="54">
        <f t="shared" si="60"/>
        <v>1.9355555866474444E-2</v>
      </c>
      <c r="E1312" s="54">
        <f t="shared" si="61"/>
        <v>4.5148958612713751E-3</v>
      </c>
      <c r="F1312" s="55">
        <f t="shared" si="62"/>
        <v>2025</v>
      </c>
    </row>
    <row r="1313" spans="1:6" x14ac:dyDescent="0.35">
      <c r="A1313" s="69">
        <v>45853</v>
      </c>
      <c r="B1313" s="54">
        <v>2884.8</v>
      </c>
      <c r="C1313" s="54">
        <v>25195.8</v>
      </c>
      <c r="D1313" s="54">
        <f t="shared" si="60"/>
        <v>-2.7770081717516859E-3</v>
      </c>
      <c r="E1313" s="54">
        <f t="shared" si="61"/>
        <v>6.4474087122986417E-4</v>
      </c>
      <c r="F1313" s="55">
        <f t="shared" si="62"/>
        <v>2025</v>
      </c>
    </row>
    <row r="1314" spans="1:6" x14ac:dyDescent="0.35">
      <c r="A1314" s="69">
        <v>45854</v>
      </c>
      <c r="B1314" s="54">
        <v>2876.8</v>
      </c>
      <c r="C1314" s="54">
        <v>25212.05</v>
      </c>
      <c r="D1314" s="54">
        <f t="shared" si="60"/>
        <v>-1.1467053354169669E-2</v>
      </c>
      <c r="E1314" s="54">
        <f t="shared" si="61"/>
        <v>-3.9981374112852634E-3</v>
      </c>
      <c r="F1314" s="55">
        <f t="shared" si="62"/>
        <v>2025</v>
      </c>
    </row>
    <row r="1315" spans="1:6" x14ac:dyDescent="0.35">
      <c r="A1315" s="69">
        <v>45855</v>
      </c>
      <c r="B1315" s="54">
        <v>2844</v>
      </c>
      <c r="C1315" s="54">
        <v>25111.45</v>
      </c>
      <c r="D1315" s="54">
        <f t="shared" si="60"/>
        <v>-3.9811915110206514E-3</v>
      </c>
      <c r="E1315" s="54">
        <f t="shared" si="61"/>
        <v>-5.7128920738239268E-3</v>
      </c>
      <c r="F1315" s="55">
        <f t="shared" si="62"/>
        <v>2025</v>
      </c>
    </row>
    <row r="1316" spans="1:6" x14ac:dyDescent="0.35">
      <c r="A1316" s="69">
        <v>45856</v>
      </c>
      <c r="B1316" s="54">
        <v>2832.7</v>
      </c>
      <c r="C1316" s="54">
        <v>24968.400000000001</v>
      </c>
      <c r="D1316" s="54">
        <f t="shared" si="60"/>
        <v>-1.0575724945091155E-2</v>
      </c>
      <c r="E1316" s="54">
        <f t="shared" si="61"/>
        <v>4.8862342043243081E-3</v>
      </c>
      <c r="F1316" s="55">
        <f t="shared" si="62"/>
        <v>2025</v>
      </c>
    </row>
    <row r="1317" spans="1:6" x14ac:dyDescent="0.35">
      <c r="A1317" s="69">
        <v>45859</v>
      </c>
      <c r="B1317" s="54">
        <v>2802.9</v>
      </c>
      <c r="C1317" s="54">
        <v>25090.7</v>
      </c>
      <c r="D1317" s="54">
        <f t="shared" si="60"/>
        <v>-9.211369587901445E-3</v>
      </c>
      <c r="E1317" s="54">
        <f t="shared" si="61"/>
        <v>-1.1883969208231818E-3</v>
      </c>
      <c r="F1317" s="55">
        <f t="shared" si="62"/>
        <v>2025</v>
      </c>
    </row>
    <row r="1318" spans="1:6" x14ac:dyDescent="0.35">
      <c r="A1318" s="69">
        <v>45860</v>
      </c>
      <c r="B1318" s="54">
        <v>2777.2</v>
      </c>
      <c r="C1318" s="54">
        <v>25060.9</v>
      </c>
      <c r="D1318" s="54">
        <f t="shared" si="60"/>
        <v>-1.4800037992275266E-2</v>
      </c>
      <c r="E1318" s="54">
        <f t="shared" si="61"/>
        <v>6.3245027919540961E-3</v>
      </c>
      <c r="F1318" s="55">
        <f t="shared" si="62"/>
        <v>2025</v>
      </c>
    </row>
    <row r="1319" spans="1:6" x14ac:dyDescent="0.35">
      <c r="A1319" s="69">
        <v>45861</v>
      </c>
      <c r="B1319" s="54">
        <v>2736.4</v>
      </c>
      <c r="C1319" s="54">
        <v>25219.9</v>
      </c>
      <c r="D1319" s="54">
        <f t="shared" si="60"/>
        <v>-3.0763664618893294E-2</v>
      </c>
      <c r="E1319" s="54">
        <f t="shared" si="61"/>
        <v>-6.2766205821811125E-3</v>
      </c>
      <c r="F1319" s="55">
        <f t="shared" si="62"/>
        <v>2025</v>
      </c>
    </row>
    <row r="1320" spans="1:6" x14ac:dyDescent="0.35">
      <c r="A1320" s="69">
        <v>45862</v>
      </c>
      <c r="B1320" s="54">
        <v>2653.5</v>
      </c>
      <c r="C1320" s="54">
        <v>25062.1</v>
      </c>
      <c r="D1320" s="54">
        <f t="shared" si="60"/>
        <v>-1.0798627242225484E-2</v>
      </c>
      <c r="E1320" s="54">
        <f t="shared" si="61"/>
        <v>-9.0222680148949828E-3</v>
      </c>
      <c r="F1320" s="55">
        <f t="shared" si="62"/>
        <v>2025</v>
      </c>
    </row>
    <row r="1321" spans="1:6" x14ac:dyDescent="0.35">
      <c r="A1321" s="69">
        <v>45863</v>
      </c>
      <c r="B1321" s="54">
        <v>2625</v>
      </c>
      <c r="C1321" s="54">
        <v>24837</v>
      </c>
      <c r="D1321" s="54">
        <f t="shared" si="60"/>
        <v>2.9577294904580862E-2</v>
      </c>
      <c r="E1321" s="54">
        <f t="shared" si="61"/>
        <v>-6.3048116777717281E-3</v>
      </c>
      <c r="F1321" s="55">
        <f t="shared" si="62"/>
        <v>2025</v>
      </c>
    </row>
    <row r="1322" spans="1:6" x14ac:dyDescent="0.35">
      <c r="A1322" s="69">
        <v>45866</v>
      </c>
      <c r="B1322" s="54">
        <v>2703.8</v>
      </c>
      <c r="C1322" s="54">
        <v>24680.9</v>
      </c>
      <c r="D1322" s="54">
        <f t="shared" si="60"/>
        <v>2.5740272177026822E-2</v>
      </c>
      <c r="E1322" s="54">
        <f t="shared" si="61"/>
        <v>5.6644327448940367E-3</v>
      </c>
      <c r="F1322" s="55">
        <f t="shared" si="62"/>
        <v>2025</v>
      </c>
    </row>
    <row r="1323" spans="1:6" x14ac:dyDescent="0.35">
      <c r="A1323" s="69">
        <v>45867</v>
      </c>
      <c r="B1323" s="54">
        <v>2774.3</v>
      </c>
      <c r="C1323" s="54">
        <v>24821.1</v>
      </c>
      <c r="D1323" s="54">
        <f t="shared" si="60"/>
        <v>1.1575323209703274E-2</v>
      </c>
      <c r="E1323" s="54">
        <f t="shared" si="61"/>
        <v>1.3668533203841048E-3</v>
      </c>
      <c r="F1323" s="55">
        <f t="shared" si="62"/>
        <v>2025</v>
      </c>
    </row>
    <row r="1324" spans="1:6" x14ac:dyDescent="0.35">
      <c r="A1324" s="69">
        <v>45868</v>
      </c>
      <c r="B1324" s="54">
        <v>2806.6</v>
      </c>
      <c r="C1324" s="54">
        <v>24855.05</v>
      </c>
      <c r="D1324" s="54">
        <f t="shared" si="60"/>
        <v>-5.8605084830276981E-3</v>
      </c>
      <c r="E1324" s="54">
        <f t="shared" si="61"/>
        <v>-3.4943227678611022E-3</v>
      </c>
      <c r="F1324" s="55">
        <f t="shared" si="62"/>
        <v>2025</v>
      </c>
    </row>
    <row r="1325" spans="1:6" x14ac:dyDescent="0.35">
      <c r="A1325" s="69">
        <v>45869</v>
      </c>
      <c r="B1325" s="54">
        <v>2790.2</v>
      </c>
      <c r="C1325" s="54">
        <v>24768.35</v>
      </c>
      <c r="D1325" s="54">
        <f t="shared" si="60"/>
        <v>-1.1825071096478939E-2</v>
      </c>
      <c r="E1325" s="54">
        <f t="shared" si="61"/>
        <v>-8.2297150116146193E-3</v>
      </c>
      <c r="F1325" s="55">
        <f t="shared" si="62"/>
        <v>2025</v>
      </c>
    </row>
    <row r="1326" spans="1:6" x14ac:dyDescent="0.35">
      <c r="A1326" s="69">
        <v>45870</v>
      </c>
      <c r="B1326" s="54">
        <v>2757.4</v>
      </c>
      <c r="C1326" s="54">
        <v>24565.35</v>
      </c>
      <c r="D1326" s="54">
        <f t="shared" si="60"/>
        <v>-3.6695955579134913E-3</v>
      </c>
      <c r="E1326" s="54">
        <f t="shared" si="61"/>
        <v>6.3869589240010231E-3</v>
      </c>
      <c r="F1326" s="55">
        <f t="shared" si="62"/>
        <v>2025</v>
      </c>
    </row>
    <row r="1327" spans="1:6" x14ac:dyDescent="0.35">
      <c r="A1327" s="69">
        <v>45873</v>
      </c>
      <c r="B1327" s="54">
        <v>2747.3</v>
      </c>
      <c r="C1327" s="54">
        <v>24722.75</v>
      </c>
      <c r="D1327" s="54">
        <f t="shared" si="60"/>
        <v>-1.5442764478830405E-2</v>
      </c>
      <c r="E1327" s="54">
        <f t="shared" si="61"/>
        <v>-2.9652276128395885E-3</v>
      </c>
      <c r="F1327" s="55">
        <f t="shared" si="62"/>
        <v>2025</v>
      </c>
    </row>
    <row r="1328" spans="1:6" x14ac:dyDescent="0.35">
      <c r="A1328" s="69">
        <v>45874</v>
      </c>
      <c r="B1328" s="54">
        <v>2705.2</v>
      </c>
      <c r="C1328" s="54">
        <v>24649.55</v>
      </c>
      <c r="D1328" s="54">
        <f t="shared" si="60"/>
        <v>-1.9070232543334908E-2</v>
      </c>
      <c r="E1328" s="54">
        <f t="shared" si="61"/>
        <v>-3.0615326485490348E-3</v>
      </c>
      <c r="F1328" s="55">
        <f t="shared" si="62"/>
        <v>2025</v>
      </c>
    </row>
    <row r="1329" spans="1:6" x14ac:dyDescent="0.35">
      <c r="A1329" s="69">
        <v>45875</v>
      </c>
      <c r="B1329" s="54">
        <v>2654.1</v>
      </c>
      <c r="C1329" s="54">
        <v>24574.2</v>
      </c>
      <c r="D1329" s="54">
        <f t="shared" si="60"/>
        <v>1.8145659168054058E-2</v>
      </c>
      <c r="E1329" s="54">
        <f t="shared" si="61"/>
        <v>8.9281452981572603E-4</v>
      </c>
      <c r="F1329" s="55">
        <f t="shared" si="62"/>
        <v>2025</v>
      </c>
    </row>
    <row r="1330" spans="1:6" x14ac:dyDescent="0.35">
      <c r="A1330" s="69">
        <v>45876</v>
      </c>
      <c r="B1330" s="54">
        <v>2702.7</v>
      </c>
      <c r="C1330" s="54">
        <v>24596.15</v>
      </c>
      <c r="D1330" s="54">
        <f t="shared" si="60"/>
        <v>-2.5191729693615421E-3</v>
      </c>
      <c r="E1330" s="54">
        <f t="shared" si="61"/>
        <v>-9.5120249782038261E-3</v>
      </c>
      <c r="F1330" s="55">
        <f t="shared" si="62"/>
        <v>2025</v>
      </c>
    </row>
    <row r="1331" spans="1:6" x14ac:dyDescent="0.35">
      <c r="A1331" s="69">
        <v>45877</v>
      </c>
      <c r="B1331" s="54">
        <v>2695.9</v>
      </c>
      <c r="C1331" s="54">
        <v>24363.3</v>
      </c>
      <c r="D1331" s="54">
        <f t="shared" si="60"/>
        <v>-8.8299972013487528E-3</v>
      </c>
      <c r="E1331" s="54">
        <f t="shared" si="61"/>
        <v>9.0606329752241262E-3</v>
      </c>
      <c r="F1331" s="55">
        <f t="shared" si="62"/>
        <v>2025</v>
      </c>
    </row>
    <row r="1332" spans="1:6" x14ac:dyDescent="0.35">
      <c r="A1332" s="69">
        <v>45880</v>
      </c>
      <c r="B1332" s="54">
        <v>2672.2</v>
      </c>
      <c r="C1332" s="54">
        <v>24585.05</v>
      </c>
      <c r="D1332" s="54">
        <f t="shared" si="60"/>
        <v>1.6920626331603596E-2</v>
      </c>
      <c r="E1332" s="54">
        <f t="shared" si="61"/>
        <v>-3.9798350761185517E-3</v>
      </c>
      <c r="F1332" s="55">
        <f t="shared" si="62"/>
        <v>2025</v>
      </c>
    </row>
    <row r="1333" spans="1:6" x14ac:dyDescent="0.35">
      <c r="A1333" s="69">
        <v>45881</v>
      </c>
      <c r="B1333" s="54">
        <v>2717.8</v>
      </c>
      <c r="C1333" s="54">
        <v>24487.4</v>
      </c>
      <c r="D1333" s="54">
        <f t="shared" si="60"/>
        <v>-8.3503163940541365E-3</v>
      </c>
      <c r="E1333" s="54">
        <f t="shared" si="61"/>
        <v>5.3740195618916181E-3</v>
      </c>
      <c r="F1333" s="55">
        <f t="shared" si="62"/>
        <v>2025</v>
      </c>
    </row>
    <row r="1334" spans="1:6" x14ac:dyDescent="0.35">
      <c r="A1334" s="69">
        <v>45882</v>
      </c>
      <c r="B1334" s="54">
        <v>2695.2</v>
      </c>
      <c r="C1334" s="54">
        <v>24619.35</v>
      </c>
      <c r="D1334" s="54">
        <f t="shared" si="60"/>
        <v>9.2329939063098554E-3</v>
      </c>
      <c r="E1334" s="54">
        <f t="shared" si="61"/>
        <v>4.8527279272500415E-4</v>
      </c>
      <c r="F1334" s="55">
        <f t="shared" si="62"/>
        <v>2025</v>
      </c>
    </row>
    <row r="1335" spans="1:6" x14ac:dyDescent="0.35">
      <c r="A1335" s="69">
        <v>45883</v>
      </c>
      <c r="B1335" s="54">
        <v>2720.2</v>
      </c>
      <c r="C1335" s="54">
        <v>24631.3</v>
      </c>
      <c r="D1335" s="54">
        <f t="shared" si="60"/>
        <v>-8.157585425606708E-3</v>
      </c>
      <c r="E1335" s="54">
        <f t="shared" si="61"/>
        <v>9.9236800312108801E-3</v>
      </c>
      <c r="F1335" s="55">
        <f t="shared" si="62"/>
        <v>2025</v>
      </c>
    </row>
    <row r="1336" spans="1:6" x14ac:dyDescent="0.35">
      <c r="A1336" s="69">
        <v>45887</v>
      </c>
      <c r="B1336" s="54">
        <v>2698.1</v>
      </c>
      <c r="C1336" s="54">
        <v>24876.95</v>
      </c>
      <c r="D1336" s="54">
        <f t="shared" si="60"/>
        <v>1.6358553992707411E-2</v>
      </c>
      <c r="E1336" s="54">
        <f t="shared" si="61"/>
        <v>4.1598532435831309E-3</v>
      </c>
      <c r="F1336" s="55">
        <f t="shared" si="62"/>
        <v>2025</v>
      </c>
    </row>
    <row r="1337" spans="1:6" x14ac:dyDescent="0.35">
      <c r="A1337" s="69">
        <v>45888</v>
      </c>
      <c r="B1337" s="54">
        <v>2742.6</v>
      </c>
      <c r="C1337" s="54">
        <v>24980.65</v>
      </c>
      <c r="D1337" s="54">
        <f t="shared" si="60"/>
        <v>3.3311912888328979E-2</v>
      </c>
      <c r="E1337" s="54">
        <f t="shared" si="61"/>
        <v>2.7942582021172405E-3</v>
      </c>
      <c r="F1337" s="55">
        <f t="shared" si="62"/>
        <v>2025</v>
      </c>
    </row>
    <row r="1338" spans="1:6" x14ac:dyDescent="0.35">
      <c r="A1338" s="69">
        <v>45889</v>
      </c>
      <c r="B1338" s="54">
        <v>2835.5</v>
      </c>
      <c r="C1338" s="54">
        <v>25050.55</v>
      </c>
      <c r="D1338" s="54">
        <f t="shared" si="60"/>
        <v>6.643374931607572E-3</v>
      </c>
      <c r="E1338" s="54">
        <f t="shared" si="61"/>
        <v>1.324442740923701E-3</v>
      </c>
      <c r="F1338" s="55">
        <f t="shared" si="62"/>
        <v>2025</v>
      </c>
    </row>
    <row r="1339" spans="1:6" x14ac:dyDescent="0.35">
      <c r="A1339" s="69">
        <v>45890</v>
      </c>
      <c r="B1339" s="54">
        <v>2854.4</v>
      </c>
      <c r="C1339" s="54">
        <v>25083.75</v>
      </c>
      <c r="D1339" s="54">
        <f t="shared" si="60"/>
        <v>-2.0340178852045216E-3</v>
      </c>
      <c r="E1339" s="54">
        <f t="shared" si="61"/>
        <v>-8.5539474026356463E-3</v>
      </c>
      <c r="F1339" s="55">
        <f t="shared" si="62"/>
        <v>2025</v>
      </c>
    </row>
    <row r="1340" spans="1:6" x14ac:dyDescent="0.35">
      <c r="A1340" s="69">
        <v>45891</v>
      </c>
      <c r="B1340" s="54">
        <v>2848.6</v>
      </c>
      <c r="C1340" s="54">
        <v>24870.1</v>
      </c>
      <c r="D1340" s="54">
        <f t="shared" si="60"/>
        <v>2.3967989152985817E-2</v>
      </c>
      <c r="E1340" s="54">
        <f t="shared" si="61"/>
        <v>3.9187133859900506E-3</v>
      </c>
      <c r="F1340" s="55">
        <f t="shared" si="62"/>
        <v>2025</v>
      </c>
    </row>
    <row r="1341" spans="1:6" x14ac:dyDescent="0.35">
      <c r="A1341" s="69">
        <v>45894</v>
      </c>
      <c r="B1341" s="54">
        <v>2917.7</v>
      </c>
      <c r="C1341" s="54">
        <v>24967.75</v>
      </c>
      <c r="D1341" s="54">
        <f t="shared" si="60"/>
        <v>-1.5369243452825157E-2</v>
      </c>
      <c r="E1341" s="54">
        <f t="shared" si="61"/>
        <v>-1.0294013179196964E-2</v>
      </c>
      <c r="F1341" s="55">
        <f t="shared" si="62"/>
        <v>2025</v>
      </c>
    </row>
    <row r="1342" spans="1:6" x14ac:dyDescent="0.35">
      <c r="A1342" s="69">
        <v>45895</v>
      </c>
      <c r="B1342" s="54">
        <v>2873.2</v>
      </c>
      <c r="C1342" s="54">
        <v>24712.05</v>
      </c>
      <c r="D1342" s="54">
        <f t="shared" si="60"/>
        <v>-1.4513839349775905E-2</v>
      </c>
      <c r="E1342" s="54">
        <f t="shared" si="61"/>
        <v>-8.5811273528911703E-3</v>
      </c>
      <c r="F1342" s="55">
        <f t="shared" si="62"/>
        <v>2025</v>
      </c>
    </row>
    <row r="1343" spans="1:6" x14ac:dyDescent="0.35">
      <c r="A1343" s="69">
        <v>45897</v>
      </c>
      <c r="B1343" s="54">
        <v>2831.8</v>
      </c>
      <c r="C1343" s="54">
        <v>24500.9</v>
      </c>
      <c r="D1343" s="54">
        <f t="shared" si="60"/>
        <v>-1.5588058970455985E-2</v>
      </c>
      <c r="E1343" s="54">
        <f t="shared" si="61"/>
        <v>-3.0269144417419749E-3</v>
      </c>
      <c r="F1343" s="55">
        <f t="shared" si="62"/>
        <v>2025</v>
      </c>
    </row>
    <row r="1344" spans="1:6" x14ac:dyDescent="0.35">
      <c r="A1344" s="69">
        <v>45898</v>
      </c>
      <c r="B1344" s="54">
        <v>2788</v>
      </c>
      <c r="C1344" s="54">
        <v>24426.85</v>
      </c>
      <c r="D1344" s="54">
        <f t="shared" si="60"/>
        <v>4.6772690114077191E-2</v>
      </c>
      <c r="E1344" s="54">
        <f t="shared" si="61"/>
        <v>8.0812803848293591E-3</v>
      </c>
      <c r="F1344" s="55">
        <f t="shared" si="62"/>
        <v>2025</v>
      </c>
    </row>
    <row r="1345" spans="1:6" x14ac:dyDescent="0.35">
      <c r="A1345" s="69">
        <v>45901</v>
      </c>
      <c r="B1345" s="54">
        <v>2921.5</v>
      </c>
      <c r="C1345" s="54">
        <v>24625.05</v>
      </c>
      <c r="D1345" s="54">
        <f t="shared" si="60"/>
        <v>-6.49029595822924E-3</v>
      </c>
      <c r="E1345" s="54">
        <f t="shared" si="61"/>
        <v>-1.8473869004707994E-3</v>
      </c>
      <c r="F1345" s="55">
        <f t="shared" si="62"/>
        <v>2025</v>
      </c>
    </row>
    <row r="1346" spans="1:6" x14ac:dyDescent="0.35">
      <c r="A1346" s="69">
        <v>45902</v>
      </c>
      <c r="B1346" s="54">
        <v>2902.6</v>
      </c>
      <c r="C1346" s="54">
        <v>24579.599999999999</v>
      </c>
      <c r="D1346" s="54">
        <f t="shared" ref="D1346:D1409" si="63">LN(B1347/B1346)</f>
        <v>-3.3474278518139792E-3</v>
      </c>
      <c r="E1346" s="54">
        <f t="shared" ref="E1346:E1409" si="64">LN(C1347/C1346)</f>
        <v>5.495539207320317E-3</v>
      </c>
      <c r="F1346" s="55">
        <f t="shared" ref="F1346:F1409" si="65">YEAR(A1346)</f>
        <v>2025</v>
      </c>
    </row>
    <row r="1347" spans="1:6" x14ac:dyDescent="0.35">
      <c r="A1347" s="69">
        <v>45903</v>
      </c>
      <c r="B1347" s="54">
        <v>2892.9</v>
      </c>
      <c r="C1347" s="54">
        <v>24715.05</v>
      </c>
      <c r="D1347" s="54">
        <f t="shared" si="63"/>
        <v>-1.1018341950219772E-2</v>
      </c>
      <c r="E1347" s="54">
        <f t="shared" si="64"/>
        <v>7.7857447964071113E-4</v>
      </c>
      <c r="F1347" s="55">
        <f t="shared" si="65"/>
        <v>2025</v>
      </c>
    </row>
    <row r="1348" spans="1:6" x14ac:dyDescent="0.35">
      <c r="A1348" s="69">
        <v>45904</v>
      </c>
      <c r="B1348" s="54">
        <v>2861.2</v>
      </c>
      <c r="C1348" s="54">
        <v>24734.3</v>
      </c>
      <c r="D1348" s="54">
        <f t="shared" si="63"/>
        <v>-2.2550702889025095E-2</v>
      </c>
      <c r="E1348" s="54">
        <f t="shared" si="64"/>
        <v>2.708422198937796E-4</v>
      </c>
      <c r="F1348" s="55">
        <f t="shared" si="65"/>
        <v>2025</v>
      </c>
    </row>
    <row r="1349" spans="1:6" x14ac:dyDescent="0.35">
      <c r="A1349" s="69">
        <v>45905</v>
      </c>
      <c r="B1349" s="54">
        <v>2797.4</v>
      </c>
      <c r="C1349" s="54">
        <v>24741</v>
      </c>
      <c r="D1349" s="54">
        <f t="shared" si="63"/>
        <v>-3.6887856314652147E-3</v>
      </c>
      <c r="E1349" s="54">
        <f t="shared" si="64"/>
        <v>1.2986188601915426E-3</v>
      </c>
      <c r="F1349" s="55">
        <f t="shared" si="65"/>
        <v>2025</v>
      </c>
    </row>
    <row r="1350" spans="1:6" x14ac:dyDescent="0.35">
      <c r="A1350" s="69">
        <v>45908</v>
      </c>
      <c r="B1350" s="54">
        <v>2787.1</v>
      </c>
      <c r="C1350" s="54">
        <v>24773.15</v>
      </c>
      <c r="D1350" s="54">
        <f t="shared" si="63"/>
        <v>2.3474590442711309E-2</v>
      </c>
      <c r="E1350" s="54">
        <f t="shared" si="64"/>
        <v>3.8455581291435849E-3</v>
      </c>
      <c r="F1350" s="55">
        <f t="shared" si="65"/>
        <v>2025</v>
      </c>
    </row>
    <row r="1351" spans="1:6" x14ac:dyDescent="0.35">
      <c r="A1351" s="69">
        <v>45909</v>
      </c>
      <c r="B1351" s="54">
        <v>2853.3</v>
      </c>
      <c r="C1351" s="54">
        <v>24868.6</v>
      </c>
      <c r="D1351" s="54">
        <f t="shared" si="63"/>
        <v>3.9546867939528975E-2</v>
      </c>
      <c r="E1351" s="54">
        <f t="shared" si="64"/>
        <v>4.1932820559463261E-3</v>
      </c>
      <c r="F1351" s="55">
        <f t="shared" si="65"/>
        <v>2025</v>
      </c>
    </row>
    <row r="1352" spans="1:6" x14ac:dyDescent="0.35">
      <c r="A1352" s="69">
        <v>45910</v>
      </c>
      <c r="B1352" s="54">
        <v>2968.4</v>
      </c>
      <c r="C1352" s="54">
        <v>24973.1</v>
      </c>
      <c r="D1352" s="54">
        <f t="shared" si="63"/>
        <v>-1.4557680867687729E-2</v>
      </c>
      <c r="E1352" s="54">
        <f t="shared" si="64"/>
        <v>1.2965551071398326E-3</v>
      </c>
      <c r="F1352" s="55">
        <f t="shared" si="65"/>
        <v>2025</v>
      </c>
    </row>
    <row r="1353" spans="1:6" x14ac:dyDescent="0.35">
      <c r="A1353" s="69">
        <v>45911</v>
      </c>
      <c r="B1353" s="54">
        <v>2925.5</v>
      </c>
      <c r="C1353" s="54">
        <v>25005.5</v>
      </c>
      <c r="D1353" s="54">
        <f t="shared" si="63"/>
        <v>-7.3074411316538133E-3</v>
      </c>
      <c r="E1353" s="54">
        <f t="shared" si="64"/>
        <v>4.3296588950226811E-3</v>
      </c>
      <c r="F1353" s="55">
        <f t="shared" si="65"/>
        <v>2025</v>
      </c>
    </row>
    <row r="1354" spans="1:6" x14ac:dyDescent="0.35">
      <c r="A1354" s="69">
        <v>45912</v>
      </c>
      <c r="B1354" s="54">
        <v>2904.2</v>
      </c>
      <c r="C1354" s="54">
        <v>25114</v>
      </c>
      <c r="D1354" s="54">
        <f t="shared" si="63"/>
        <v>1.1979470364224063E-2</v>
      </c>
      <c r="E1354" s="54">
        <f t="shared" si="64"/>
        <v>-1.7854585559052094E-3</v>
      </c>
      <c r="F1354" s="55">
        <f t="shared" si="65"/>
        <v>2025</v>
      </c>
    </row>
    <row r="1355" spans="1:6" x14ac:dyDescent="0.35">
      <c r="A1355" s="69">
        <v>45915</v>
      </c>
      <c r="B1355" s="54">
        <v>2939.2</v>
      </c>
      <c r="C1355" s="54">
        <v>25069.200000000001</v>
      </c>
      <c r="D1355" s="54">
        <f t="shared" si="63"/>
        <v>3.9049948602205989E-3</v>
      </c>
      <c r="E1355" s="54">
        <f t="shared" si="64"/>
        <v>6.7543783401827241E-3</v>
      </c>
      <c r="F1355" s="55">
        <f t="shared" si="65"/>
        <v>2025</v>
      </c>
    </row>
    <row r="1356" spans="1:6" x14ac:dyDescent="0.35">
      <c r="A1356" s="69">
        <v>45916</v>
      </c>
      <c r="B1356" s="54">
        <v>2950.7</v>
      </c>
      <c r="C1356" s="54">
        <v>25239.1</v>
      </c>
      <c r="D1356" s="54">
        <f t="shared" si="63"/>
        <v>9.243082942704128E-3</v>
      </c>
      <c r="E1356" s="54">
        <f t="shared" si="64"/>
        <v>3.6049543335288465E-3</v>
      </c>
      <c r="F1356" s="55">
        <f t="shared" si="65"/>
        <v>2025</v>
      </c>
    </row>
    <row r="1357" spans="1:6" x14ac:dyDescent="0.35">
      <c r="A1357" s="69">
        <v>45917</v>
      </c>
      <c r="B1357" s="54">
        <v>2978.1</v>
      </c>
      <c r="C1357" s="54">
        <v>25330.25</v>
      </c>
      <c r="D1357" s="54">
        <f t="shared" si="63"/>
        <v>7.5267553891272491E-3</v>
      </c>
      <c r="E1357" s="54">
        <f t="shared" si="64"/>
        <v>3.6785428205012871E-3</v>
      </c>
      <c r="F1357" s="55">
        <f t="shared" si="65"/>
        <v>2025</v>
      </c>
    </row>
    <row r="1358" spans="1:6" x14ac:dyDescent="0.35">
      <c r="A1358" s="69">
        <v>45918</v>
      </c>
      <c r="B1358" s="54">
        <v>3000.6</v>
      </c>
      <c r="C1358" s="54">
        <v>25423.599999999999</v>
      </c>
      <c r="D1358" s="54">
        <f t="shared" si="63"/>
        <v>-2.268785171777568E-3</v>
      </c>
      <c r="E1358" s="54">
        <f t="shared" si="64"/>
        <v>-3.8048819662613634E-3</v>
      </c>
      <c r="F1358" s="55">
        <f t="shared" si="65"/>
        <v>2025</v>
      </c>
    </row>
    <row r="1359" spans="1:6" x14ac:dyDescent="0.35">
      <c r="A1359" s="69">
        <v>45919</v>
      </c>
      <c r="B1359" s="54">
        <v>2993.8</v>
      </c>
      <c r="C1359" s="54">
        <v>25327.05</v>
      </c>
      <c r="D1359" s="54">
        <f t="shared" si="63"/>
        <v>-4.8382738326986828E-2</v>
      </c>
      <c r="E1359" s="54">
        <f t="shared" si="64"/>
        <v>-4.9357504010677988E-3</v>
      </c>
      <c r="F1359" s="55">
        <f t="shared" si="65"/>
        <v>2025</v>
      </c>
    </row>
    <row r="1360" spans="1:6" x14ac:dyDescent="0.35">
      <c r="A1360" s="69">
        <v>45922</v>
      </c>
      <c r="B1360" s="54">
        <v>2852.4</v>
      </c>
      <c r="C1360" s="54">
        <v>25202.35</v>
      </c>
      <c r="D1360" s="54">
        <f t="shared" si="63"/>
        <v>-3.0541615713433758E-2</v>
      </c>
      <c r="E1360" s="54">
        <f t="shared" si="64"/>
        <v>-1.3043001063899793E-3</v>
      </c>
      <c r="F1360" s="55">
        <f t="shared" si="65"/>
        <v>2025</v>
      </c>
    </row>
    <row r="1361" spans="1:6" x14ac:dyDescent="0.35">
      <c r="A1361" s="69">
        <v>45923</v>
      </c>
      <c r="B1361" s="54">
        <v>2766.6</v>
      </c>
      <c r="C1361" s="54">
        <v>25169.5</v>
      </c>
      <c r="D1361" s="54">
        <f t="shared" si="63"/>
        <v>-9.3327958388396588E-3</v>
      </c>
      <c r="E1361" s="54">
        <f t="shared" si="64"/>
        <v>-4.48370532782927E-3</v>
      </c>
      <c r="F1361" s="55">
        <f t="shared" si="65"/>
        <v>2025</v>
      </c>
    </row>
    <row r="1362" spans="1:6" x14ac:dyDescent="0.35">
      <c r="A1362" s="69">
        <v>45924</v>
      </c>
      <c r="B1362" s="54">
        <v>2740.9</v>
      </c>
      <c r="C1362" s="54">
        <v>25056.9</v>
      </c>
      <c r="D1362" s="54">
        <f t="shared" si="63"/>
        <v>-8.6107928116519305E-3</v>
      </c>
      <c r="E1362" s="54">
        <f t="shared" si="64"/>
        <v>-6.6489726459885842E-3</v>
      </c>
      <c r="F1362" s="55">
        <f t="shared" si="65"/>
        <v>2025</v>
      </c>
    </row>
    <row r="1363" spans="1:6" x14ac:dyDescent="0.35">
      <c r="A1363" s="69">
        <v>45925</v>
      </c>
      <c r="B1363" s="54">
        <v>2717.4</v>
      </c>
      <c r="C1363" s="54">
        <v>24890.85</v>
      </c>
      <c r="D1363" s="54">
        <f t="shared" si="63"/>
        <v>-2.7987945713643304E-2</v>
      </c>
      <c r="E1363" s="54">
        <f t="shared" si="64"/>
        <v>-9.5327143727411273E-3</v>
      </c>
      <c r="F1363" s="55">
        <f t="shared" si="65"/>
        <v>2025</v>
      </c>
    </row>
    <row r="1364" spans="1:6" x14ac:dyDescent="0.35">
      <c r="A1364" s="69">
        <v>45926</v>
      </c>
      <c r="B1364" s="54">
        <v>2642.4</v>
      </c>
      <c r="C1364" s="54">
        <v>24654.7</v>
      </c>
      <c r="D1364" s="54">
        <f t="shared" si="63"/>
        <v>1.3419992776846162E-2</v>
      </c>
      <c r="E1364" s="54">
        <f t="shared" si="64"/>
        <v>-8.0341496238696723E-4</v>
      </c>
      <c r="F1364" s="55">
        <f t="shared" si="65"/>
        <v>2025</v>
      </c>
    </row>
    <row r="1365" spans="1:6" x14ac:dyDescent="0.35">
      <c r="A1365" s="69">
        <v>45929</v>
      </c>
      <c r="B1365" s="54">
        <v>2678.1</v>
      </c>
      <c r="C1365" s="54">
        <v>24634.9</v>
      </c>
      <c r="D1365" s="54">
        <f t="shared" si="63"/>
        <v>-8.7382655816560691E-3</v>
      </c>
      <c r="E1365" s="54">
        <f t="shared" si="64"/>
        <v>-9.6657604081426692E-4</v>
      </c>
      <c r="F1365" s="55">
        <f t="shared" si="65"/>
        <v>2025</v>
      </c>
    </row>
    <row r="1366" spans="1:6" x14ac:dyDescent="0.35">
      <c r="A1366" s="69">
        <v>45930</v>
      </c>
      <c r="B1366" s="54">
        <v>2654.8</v>
      </c>
      <c r="C1366" s="54">
        <v>24611.1</v>
      </c>
      <c r="D1366" s="54">
        <f t="shared" si="63"/>
        <v>1.3543549455135794E-2</v>
      </c>
      <c r="E1366" s="54">
        <f t="shared" si="64"/>
        <v>9.1087319879058007E-3</v>
      </c>
      <c r="F1366" s="55">
        <f t="shared" si="65"/>
        <v>2025</v>
      </c>
    </row>
    <row r="1367" spans="1:6" x14ac:dyDescent="0.35">
      <c r="A1367" s="69">
        <v>45931</v>
      </c>
      <c r="B1367" s="54">
        <v>2691</v>
      </c>
      <c r="C1367" s="54">
        <v>24836.3</v>
      </c>
      <c r="D1367" s="54">
        <f t="shared" si="63"/>
        <v>1.6913021292632589E-2</v>
      </c>
      <c r="E1367" s="54">
        <f t="shared" si="64"/>
        <v>2.3305604393949906E-3</v>
      </c>
      <c r="F1367" s="55">
        <f t="shared" si="65"/>
        <v>2025</v>
      </c>
    </row>
    <row r="1368" spans="1:6" x14ac:dyDescent="0.35">
      <c r="A1368" s="69">
        <v>45933</v>
      </c>
      <c r="B1368" s="54">
        <v>2736.9</v>
      </c>
      <c r="C1368" s="54">
        <v>24894.25</v>
      </c>
      <c r="D1368" s="54">
        <f t="shared" si="63"/>
        <v>2.0039735947135918E-2</v>
      </c>
      <c r="E1368" s="54">
        <f t="shared" si="64"/>
        <v>7.3401581061951155E-3</v>
      </c>
      <c r="F1368" s="55">
        <f t="shared" si="65"/>
        <v>2025</v>
      </c>
    </row>
    <row r="1369" spans="1:6" x14ac:dyDescent="0.35">
      <c r="A1369" s="69">
        <v>45936</v>
      </c>
      <c r="B1369" s="54">
        <v>2792.3</v>
      </c>
      <c r="C1369" s="54">
        <v>25077.65</v>
      </c>
      <c r="D1369" s="54">
        <f t="shared" si="63"/>
        <v>9.0553203436525946E-3</v>
      </c>
      <c r="E1369" s="54">
        <f t="shared" si="64"/>
        <v>1.2214575517932756E-3</v>
      </c>
      <c r="F1369" s="55">
        <f t="shared" si="65"/>
        <v>2025</v>
      </c>
    </row>
    <row r="1370" spans="1:6" x14ac:dyDescent="0.35">
      <c r="A1370" s="69">
        <v>45937</v>
      </c>
      <c r="B1370" s="54">
        <v>2817.7</v>
      </c>
      <c r="C1370" s="54">
        <v>25108.3</v>
      </c>
      <c r="D1370" s="54">
        <f t="shared" si="63"/>
        <v>-6.3729632696019264E-3</v>
      </c>
      <c r="E1370" s="54">
        <f t="shared" si="64"/>
        <v>-2.4783456627061593E-3</v>
      </c>
      <c r="F1370" s="55">
        <f t="shared" si="65"/>
        <v>2025</v>
      </c>
    </row>
    <row r="1371" spans="1:6" x14ac:dyDescent="0.35">
      <c r="A1371" s="69">
        <v>45938</v>
      </c>
      <c r="B1371" s="54">
        <v>2799.8</v>
      </c>
      <c r="C1371" s="54">
        <v>25046.15</v>
      </c>
      <c r="D1371" s="54">
        <f t="shared" si="63"/>
        <v>2.6395592282803066E-3</v>
      </c>
      <c r="E1371" s="54">
        <f t="shared" si="64"/>
        <v>5.401388262863396E-3</v>
      </c>
      <c r="F1371" s="55">
        <f t="shared" si="65"/>
        <v>2025</v>
      </c>
    </row>
    <row r="1372" spans="1:6" x14ac:dyDescent="0.35">
      <c r="A1372" s="69">
        <v>45939</v>
      </c>
      <c r="B1372" s="54">
        <v>2807.2</v>
      </c>
      <c r="C1372" s="54">
        <v>25181.8</v>
      </c>
      <c r="D1372" s="54">
        <f t="shared" si="63"/>
        <v>-8.5862004312730472E-3</v>
      </c>
      <c r="E1372" s="54">
        <f t="shared" si="64"/>
        <v>4.1036652680295424E-3</v>
      </c>
      <c r="F1372" s="55">
        <f t="shared" si="65"/>
        <v>2025</v>
      </c>
    </row>
    <row r="1373" spans="1:6" x14ac:dyDescent="0.35">
      <c r="A1373" s="69">
        <v>45940</v>
      </c>
      <c r="B1373" s="54">
        <v>2783.2</v>
      </c>
      <c r="C1373" s="54">
        <v>25285.35</v>
      </c>
      <c r="D1373" s="54">
        <f t="shared" si="63"/>
        <v>-1.1927708548887958E-2</v>
      </c>
      <c r="E1373" s="54">
        <f t="shared" si="64"/>
        <v>-2.2964531885856635E-3</v>
      </c>
      <c r="F1373" s="55">
        <f t="shared" si="65"/>
        <v>2025</v>
      </c>
    </row>
    <row r="1374" spans="1:6" x14ac:dyDescent="0.35">
      <c r="A1374" s="69">
        <v>45943</v>
      </c>
      <c r="B1374" s="54">
        <v>2750.2</v>
      </c>
      <c r="C1374" s="54">
        <v>25227.35</v>
      </c>
      <c r="D1374" s="54">
        <f t="shared" si="63"/>
        <v>-1.7832776994020849E-3</v>
      </c>
      <c r="E1374" s="54">
        <f t="shared" si="64"/>
        <v>-3.2497693513395339E-3</v>
      </c>
      <c r="F1374" s="55">
        <f t="shared" si="65"/>
        <v>2025</v>
      </c>
    </row>
    <row r="1375" spans="1:6" x14ac:dyDescent="0.35">
      <c r="A1375" s="69">
        <v>45944</v>
      </c>
      <c r="B1375" s="54">
        <v>2745.3</v>
      </c>
      <c r="C1375" s="54">
        <v>25145.5</v>
      </c>
      <c r="D1375" s="54">
        <f t="shared" si="63"/>
        <v>1.3243788884847838E-2</v>
      </c>
      <c r="E1375" s="54">
        <f t="shared" si="64"/>
        <v>7.0558387242180077E-3</v>
      </c>
      <c r="F1375" s="55">
        <f t="shared" si="65"/>
        <v>2025</v>
      </c>
    </row>
    <row r="1376" spans="1:6" x14ac:dyDescent="0.35">
      <c r="A1376" s="69">
        <v>45945</v>
      </c>
      <c r="B1376" s="54">
        <v>2781.9</v>
      </c>
      <c r="C1376" s="54">
        <v>25323.55</v>
      </c>
      <c r="D1376" s="54">
        <f t="shared" si="63"/>
        <v>6.109064964048527E-4</v>
      </c>
      <c r="E1376" s="54">
        <f t="shared" si="64"/>
        <v>1.0283174989422342E-2</v>
      </c>
      <c r="F1376" s="55">
        <f t="shared" si="65"/>
        <v>2025</v>
      </c>
    </row>
    <row r="1377" spans="1:6" x14ac:dyDescent="0.35">
      <c r="A1377" s="69">
        <v>45946</v>
      </c>
      <c r="B1377" s="54">
        <v>2783.6</v>
      </c>
      <c r="C1377" s="54">
        <v>25585.3</v>
      </c>
      <c r="D1377" s="54">
        <f t="shared" si="63"/>
        <v>-3.2829340775822405E-2</v>
      </c>
      <c r="E1377" s="54">
        <f t="shared" si="64"/>
        <v>4.8562191462695678E-3</v>
      </c>
      <c r="F1377" s="55">
        <f t="shared" si="65"/>
        <v>2025</v>
      </c>
    </row>
    <row r="1378" spans="1:6" x14ac:dyDescent="0.35">
      <c r="A1378" s="69">
        <v>45947</v>
      </c>
      <c r="B1378" s="54">
        <v>2693.7</v>
      </c>
      <c r="C1378" s="54">
        <v>25709.85</v>
      </c>
      <c r="D1378" s="54">
        <f t="shared" si="63"/>
        <v>1.9775694082903961E-2</v>
      </c>
      <c r="E1378" s="54">
        <f t="shared" si="64"/>
        <v>5.1713885544162376E-3</v>
      </c>
      <c r="F1378" s="55">
        <f t="shared" si="65"/>
        <v>2025</v>
      </c>
    </row>
    <row r="1379" spans="1:6" x14ac:dyDescent="0.35">
      <c r="A1379" s="69">
        <v>45950</v>
      </c>
      <c r="B1379" s="54">
        <v>2747.5</v>
      </c>
      <c r="C1379" s="54">
        <v>25843.15</v>
      </c>
      <c r="D1379" s="54">
        <f t="shared" si="63"/>
        <v>-2.4780450711468162E-3</v>
      </c>
      <c r="E1379" s="54">
        <f t="shared" si="64"/>
        <v>9.8430248656327583E-4</v>
      </c>
      <c r="F1379" s="55">
        <f t="shared" si="65"/>
        <v>2025</v>
      </c>
    </row>
    <row r="1380" spans="1:6" x14ac:dyDescent="0.35">
      <c r="A1380" s="69">
        <v>45951</v>
      </c>
      <c r="B1380" s="54">
        <v>2740.7</v>
      </c>
      <c r="C1380" s="54">
        <v>25868.6</v>
      </c>
      <c r="D1380" s="54">
        <f t="shared" si="63"/>
        <v>2.112029984684867E-2</v>
      </c>
      <c r="E1380" s="54">
        <f t="shared" si="64"/>
        <v>8.8098923781576393E-4</v>
      </c>
      <c r="F1380" s="55">
        <f t="shared" si="65"/>
        <v>2025</v>
      </c>
    </row>
    <row r="1381" spans="1:6" x14ac:dyDescent="0.35">
      <c r="A1381" s="69">
        <v>45953</v>
      </c>
      <c r="B1381" s="54">
        <v>2799.2</v>
      </c>
      <c r="C1381" s="54">
        <v>25891.4</v>
      </c>
      <c r="D1381" s="54">
        <f t="shared" si="63"/>
        <v>7.0130758592435423E-3</v>
      </c>
      <c r="E1381" s="54">
        <f t="shared" si="64"/>
        <v>-3.7243774737084727E-3</v>
      </c>
      <c r="F1381" s="55">
        <f t="shared" si="65"/>
        <v>2025</v>
      </c>
    </row>
    <row r="1382" spans="1:6" x14ac:dyDescent="0.35">
      <c r="A1382" s="69">
        <v>45954</v>
      </c>
      <c r="B1382" s="54">
        <v>2818.9</v>
      </c>
      <c r="C1382" s="54">
        <v>25795.15</v>
      </c>
      <c r="D1382" s="54">
        <f t="shared" si="63"/>
        <v>2.4459836001625965E-2</v>
      </c>
      <c r="E1382" s="54">
        <f t="shared" si="64"/>
        <v>6.603425771068816E-3</v>
      </c>
      <c r="F1382" s="55">
        <f t="shared" si="65"/>
        <v>2025</v>
      </c>
    </row>
    <row r="1383" spans="1:6" x14ac:dyDescent="0.35">
      <c r="A1383" s="69">
        <v>45957</v>
      </c>
      <c r="B1383" s="54">
        <v>2888.7</v>
      </c>
      <c r="C1383" s="54">
        <v>25966.05</v>
      </c>
      <c r="D1383" s="54">
        <f t="shared" si="63"/>
        <v>-2.0211891633674713E-2</v>
      </c>
      <c r="E1383" s="54">
        <f t="shared" si="64"/>
        <v>-1.1502392783005436E-3</v>
      </c>
      <c r="F1383" s="55">
        <f t="shared" si="65"/>
        <v>2025</v>
      </c>
    </row>
    <row r="1384" spans="1:6" x14ac:dyDescent="0.35">
      <c r="A1384" s="69">
        <v>45958</v>
      </c>
      <c r="B1384" s="54">
        <v>2830.9</v>
      </c>
      <c r="C1384" s="54">
        <v>25936.2</v>
      </c>
      <c r="D1384" s="54">
        <f t="shared" si="63"/>
        <v>1.5318851836458215E-2</v>
      </c>
      <c r="E1384" s="54">
        <f t="shared" si="64"/>
        <v>4.5277928328536733E-3</v>
      </c>
      <c r="F1384" s="55">
        <f t="shared" si="65"/>
        <v>2025</v>
      </c>
    </row>
    <row r="1385" spans="1:6" x14ac:dyDescent="0.35">
      <c r="A1385" s="69">
        <v>45959</v>
      </c>
      <c r="B1385" s="54">
        <v>2874.6</v>
      </c>
      <c r="C1385" s="54">
        <v>26053.9</v>
      </c>
      <c r="D1385" s="54">
        <f t="shared" si="63"/>
        <v>6.6224259504251842E-3</v>
      </c>
      <c r="E1385" s="54">
        <f t="shared" si="64"/>
        <v>-6.7800786382074861E-3</v>
      </c>
      <c r="F1385" s="55">
        <f t="shared" si="65"/>
        <v>2025</v>
      </c>
    </row>
    <row r="1386" spans="1:6" x14ac:dyDescent="0.35">
      <c r="A1386" s="69">
        <v>45960</v>
      </c>
      <c r="B1386" s="54">
        <v>2893.7</v>
      </c>
      <c r="C1386" s="54">
        <v>25877.85</v>
      </c>
      <c r="D1386" s="54">
        <f t="shared" si="63"/>
        <v>-4.5712346850317269E-2</v>
      </c>
      <c r="E1386" s="54">
        <f t="shared" si="64"/>
        <v>-6.0368458886522298E-3</v>
      </c>
      <c r="F1386" s="55">
        <f t="shared" si="65"/>
        <v>2025</v>
      </c>
    </row>
    <row r="1387" spans="1:6" x14ac:dyDescent="0.35">
      <c r="A1387" s="69">
        <v>45961</v>
      </c>
      <c r="B1387" s="54">
        <v>2764.4</v>
      </c>
      <c r="C1387" s="54">
        <v>25722.1</v>
      </c>
      <c r="D1387" s="54">
        <f t="shared" si="63"/>
        <v>7.1369657372276074E-3</v>
      </c>
      <c r="E1387" s="54">
        <f t="shared" si="64"/>
        <v>1.6023948057699113E-3</v>
      </c>
      <c r="F1387" s="55">
        <f t="shared" si="65"/>
        <v>2025</v>
      </c>
    </row>
    <row r="1388" spans="1:6" x14ac:dyDescent="0.35">
      <c r="A1388" s="69">
        <v>45964</v>
      </c>
      <c r="B1388" s="54">
        <v>2784.2</v>
      </c>
      <c r="C1388" s="54">
        <v>25763.35</v>
      </c>
      <c r="D1388" s="54">
        <f t="shared" si="63"/>
        <v>-6.3414495137519176E-3</v>
      </c>
      <c r="E1388" s="54">
        <f t="shared" si="64"/>
        <v>-6.4523889677539662E-3</v>
      </c>
      <c r="F1388" s="55">
        <f t="shared" si="65"/>
        <v>2025</v>
      </c>
    </row>
    <row r="1389" spans="1:6" x14ac:dyDescent="0.35">
      <c r="A1389" s="69">
        <v>45965</v>
      </c>
      <c r="B1389" s="54">
        <v>2766.6</v>
      </c>
      <c r="C1389" s="54">
        <v>25597.65</v>
      </c>
      <c r="D1389" s="54">
        <f t="shared" si="63"/>
        <v>2.6351427576040685E-3</v>
      </c>
      <c r="E1389" s="54">
        <f t="shared" si="64"/>
        <v>-3.4417784064369639E-3</v>
      </c>
      <c r="F1389" s="55">
        <f t="shared" si="65"/>
        <v>2025</v>
      </c>
    </row>
    <row r="1390" spans="1:6" x14ac:dyDescent="0.35">
      <c r="A1390" s="69">
        <v>45967</v>
      </c>
      <c r="B1390" s="54">
        <v>2773.9</v>
      </c>
      <c r="C1390" s="54">
        <v>25509.7</v>
      </c>
      <c r="D1390" s="54">
        <f t="shared" si="63"/>
        <v>-1.3757272455877758E-2</v>
      </c>
      <c r="E1390" s="54">
        <f t="shared" si="64"/>
        <v>-6.8232620975946482E-4</v>
      </c>
      <c r="F1390" s="55">
        <f t="shared" si="65"/>
        <v>2025</v>
      </c>
    </row>
    <row r="1391" spans="1:6" x14ac:dyDescent="0.35">
      <c r="A1391" s="69">
        <v>45968</v>
      </c>
      <c r="B1391" s="54">
        <v>2736</v>
      </c>
      <c r="C1391" s="54">
        <v>25492.3</v>
      </c>
      <c r="D1391" s="54">
        <f t="shared" si="63"/>
        <v>1.4586086398567845E-2</v>
      </c>
      <c r="E1391" s="54">
        <f t="shared" si="64"/>
        <v>3.2134502892125225E-3</v>
      </c>
      <c r="F1391" s="55">
        <f t="shared" si="65"/>
        <v>2025</v>
      </c>
    </row>
    <row r="1392" spans="1:6" x14ac:dyDescent="0.35">
      <c r="A1392" s="69">
        <v>45971</v>
      </c>
      <c r="B1392" s="54">
        <v>2776.2</v>
      </c>
      <c r="C1392" s="54">
        <v>25574.35</v>
      </c>
      <c r="D1392" s="54">
        <f t="shared" si="63"/>
        <v>4.6815637277618867E-4</v>
      </c>
      <c r="E1392" s="54">
        <f t="shared" si="64"/>
        <v>4.7045784684853244E-3</v>
      </c>
      <c r="F1392" s="55">
        <f t="shared" si="65"/>
        <v>2025</v>
      </c>
    </row>
    <row r="1393" spans="1:6" x14ac:dyDescent="0.35">
      <c r="A1393" s="69">
        <v>45972</v>
      </c>
      <c r="B1393" s="54">
        <v>2777.5</v>
      </c>
      <c r="C1393" s="54">
        <v>25694.95</v>
      </c>
      <c r="D1393" s="54">
        <f t="shared" si="63"/>
        <v>1.7240267817922497E-2</v>
      </c>
      <c r="E1393" s="54">
        <f t="shared" si="64"/>
        <v>7.0136944435542489E-3</v>
      </c>
      <c r="F1393" s="55">
        <f t="shared" si="65"/>
        <v>2025</v>
      </c>
    </row>
    <row r="1394" spans="1:6" x14ac:dyDescent="0.35">
      <c r="A1394" s="69">
        <v>45973</v>
      </c>
      <c r="B1394" s="54">
        <v>2825.8</v>
      </c>
      <c r="C1394" s="54">
        <v>25875.8</v>
      </c>
      <c r="D1394" s="54">
        <f t="shared" si="63"/>
        <v>-1.3456569189482194E-3</v>
      </c>
      <c r="E1394" s="54">
        <f t="shared" si="64"/>
        <v>1.2945621644613778E-4</v>
      </c>
      <c r="F1394" s="55">
        <f t="shared" si="65"/>
        <v>2025</v>
      </c>
    </row>
    <row r="1395" spans="1:6" x14ac:dyDescent="0.35">
      <c r="A1395" s="69">
        <v>45974</v>
      </c>
      <c r="B1395" s="54">
        <v>2822</v>
      </c>
      <c r="C1395" s="54">
        <v>25879.15</v>
      </c>
      <c r="D1395" s="54">
        <f t="shared" si="63"/>
        <v>-1.7840697717578964E-2</v>
      </c>
      <c r="E1395" s="54">
        <f t="shared" si="64"/>
        <v>1.193299130579461E-3</v>
      </c>
      <c r="F1395" s="55">
        <f t="shared" si="65"/>
        <v>2025</v>
      </c>
    </row>
    <row r="1396" spans="1:6" x14ac:dyDescent="0.35">
      <c r="A1396" s="69">
        <v>45975</v>
      </c>
      <c r="B1396" s="54">
        <v>2772.1</v>
      </c>
      <c r="C1396" s="54">
        <v>25910.05</v>
      </c>
      <c r="D1396" s="54">
        <f t="shared" si="63"/>
        <v>-3.0547350288008052E-2</v>
      </c>
      <c r="E1396" s="54">
        <f t="shared" si="64"/>
        <v>3.9827876272855566E-3</v>
      </c>
      <c r="F1396" s="55">
        <f t="shared" si="65"/>
        <v>2025</v>
      </c>
    </row>
    <row r="1397" spans="1:6" x14ac:dyDescent="0.35">
      <c r="A1397" s="69">
        <v>45978</v>
      </c>
      <c r="B1397" s="54">
        <v>2688.7</v>
      </c>
      <c r="C1397" s="54">
        <v>26013.45</v>
      </c>
      <c r="D1397" s="54">
        <f t="shared" si="63"/>
        <v>-1.1295751462779125E-2</v>
      </c>
      <c r="E1397" s="54">
        <f t="shared" si="64"/>
        <v>-3.9827876272854204E-3</v>
      </c>
      <c r="F1397" s="55">
        <f t="shared" si="65"/>
        <v>2025</v>
      </c>
    </row>
    <row r="1398" spans="1:6" x14ac:dyDescent="0.35">
      <c r="A1398" s="69">
        <v>45979</v>
      </c>
      <c r="B1398" s="54">
        <v>2658.5</v>
      </c>
      <c r="C1398" s="54">
        <v>25910.05</v>
      </c>
      <c r="D1398" s="54">
        <f t="shared" si="63"/>
        <v>2.0550963389288215E-2</v>
      </c>
      <c r="E1398" s="54">
        <f t="shared" si="64"/>
        <v>5.488566143699687E-3</v>
      </c>
      <c r="F1398" s="55">
        <f t="shared" si="65"/>
        <v>2025</v>
      </c>
    </row>
    <row r="1399" spans="1:6" x14ac:dyDescent="0.35">
      <c r="A1399" s="69">
        <v>45980</v>
      </c>
      <c r="B1399" s="54">
        <v>2713.7</v>
      </c>
      <c r="C1399" s="54">
        <v>26052.65</v>
      </c>
      <c r="D1399" s="54">
        <f t="shared" si="63"/>
        <v>9.7908777950625903E-3</v>
      </c>
      <c r="E1399" s="54">
        <f t="shared" si="64"/>
        <v>5.3402570791968307E-3</v>
      </c>
      <c r="F1399" s="55">
        <f t="shared" si="65"/>
        <v>2025</v>
      </c>
    </row>
    <row r="1400" spans="1:6" x14ac:dyDescent="0.35">
      <c r="A1400" s="69">
        <v>45981</v>
      </c>
      <c r="B1400" s="54">
        <v>2740.4</v>
      </c>
      <c r="C1400" s="54">
        <v>26192.15</v>
      </c>
      <c r="D1400" s="54">
        <f t="shared" si="63"/>
        <v>2.441914653052114E-3</v>
      </c>
      <c r="E1400" s="54">
        <f t="shared" si="64"/>
        <v>-4.7454849169532316E-3</v>
      </c>
      <c r="F1400" s="55">
        <f t="shared" si="65"/>
        <v>2025</v>
      </c>
    </row>
    <row r="1401" spans="1:6" x14ac:dyDescent="0.35">
      <c r="A1401" s="69">
        <v>45982</v>
      </c>
      <c r="B1401" s="54">
        <v>2747.1</v>
      </c>
      <c r="C1401" s="54">
        <v>26068.15</v>
      </c>
      <c r="D1401" s="54">
        <f t="shared" si="63"/>
        <v>6.6033183848787091E-3</v>
      </c>
      <c r="E1401" s="54">
        <f t="shared" si="64"/>
        <v>-4.1766313851615104E-3</v>
      </c>
      <c r="F1401" s="55">
        <f t="shared" si="65"/>
        <v>2025</v>
      </c>
    </row>
    <row r="1402" spans="1:6" x14ac:dyDescent="0.35">
      <c r="A1402" s="69">
        <v>45985</v>
      </c>
      <c r="B1402" s="54">
        <v>2765.3</v>
      </c>
      <c r="C1402" s="54">
        <v>25959.5</v>
      </c>
      <c r="D1402" s="54">
        <f t="shared" si="63"/>
        <v>1.1469788663036851E-2</v>
      </c>
      <c r="E1402" s="54">
        <f t="shared" si="64"/>
        <v>-2.8817074082925676E-3</v>
      </c>
      <c r="F1402" s="55">
        <f t="shared" si="65"/>
        <v>2025</v>
      </c>
    </row>
    <row r="1403" spans="1:6" x14ac:dyDescent="0.35">
      <c r="A1403" s="69">
        <v>45986</v>
      </c>
      <c r="B1403" s="54">
        <v>2797.2</v>
      </c>
      <c r="C1403" s="54">
        <v>25884.799999999999</v>
      </c>
      <c r="D1403" s="54">
        <f t="shared" si="63"/>
        <v>1.0719263541131036E-3</v>
      </c>
      <c r="E1403" s="54">
        <f t="shared" si="64"/>
        <v>1.2305756544011975E-2</v>
      </c>
      <c r="F1403" s="55">
        <f t="shared" si="65"/>
        <v>2025</v>
      </c>
    </row>
    <row r="1404" spans="1:6" x14ac:dyDescent="0.35">
      <c r="A1404" s="69">
        <v>45987</v>
      </c>
      <c r="B1404" s="54">
        <v>2800.2</v>
      </c>
      <c r="C1404" s="54">
        <v>26205.3</v>
      </c>
      <c r="D1404" s="54">
        <f t="shared" si="63"/>
        <v>-3.1117574334097397E-3</v>
      </c>
      <c r="E1404" s="54">
        <f t="shared" si="64"/>
        <v>3.9106577366173836E-4</v>
      </c>
      <c r="F1404" s="55">
        <f t="shared" si="65"/>
        <v>2025</v>
      </c>
    </row>
    <row r="1405" spans="1:6" x14ac:dyDescent="0.35">
      <c r="A1405" s="69">
        <v>45988</v>
      </c>
      <c r="B1405" s="54">
        <v>2791.5</v>
      </c>
      <c r="C1405" s="54">
        <v>26215.55</v>
      </c>
      <c r="D1405" s="54">
        <f t="shared" si="63"/>
        <v>7.1034941472503709E-3</v>
      </c>
      <c r="E1405" s="54">
        <f t="shared" si="64"/>
        <v>-4.8074631066023429E-4</v>
      </c>
      <c r="F1405" s="55">
        <f t="shared" si="65"/>
        <v>2025</v>
      </c>
    </row>
    <row r="1406" spans="1:6" x14ac:dyDescent="0.35">
      <c r="A1406" s="69">
        <v>45989</v>
      </c>
      <c r="B1406" s="54">
        <v>2811.4</v>
      </c>
      <c r="C1406" s="54">
        <v>26202.95</v>
      </c>
      <c r="D1406" s="54">
        <f t="shared" si="63"/>
        <v>7.4065225089150226E-3</v>
      </c>
      <c r="E1406" s="54">
        <f t="shared" si="64"/>
        <v>-1.0385902072783048E-3</v>
      </c>
      <c r="F1406" s="55">
        <f t="shared" si="65"/>
        <v>2025</v>
      </c>
    </row>
    <row r="1407" spans="1:6" x14ac:dyDescent="0.35">
      <c r="A1407" s="69">
        <v>45992</v>
      </c>
      <c r="B1407" s="54">
        <v>2832.3</v>
      </c>
      <c r="C1407" s="54">
        <v>26175.75</v>
      </c>
      <c r="D1407" s="54">
        <f t="shared" si="63"/>
        <v>2.0457117743789507E-3</v>
      </c>
      <c r="E1407" s="54">
        <f t="shared" si="64"/>
        <v>-5.4991763421880138E-3</v>
      </c>
      <c r="F1407" s="55">
        <f t="shared" si="65"/>
        <v>2025</v>
      </c>
    </row>
    <row r="1408" spans="1:6" x14ac:dyDescent="0.35">
      <c r="A1408" s="69">
        <v>45993</v>
      </c>
      <c r="B1408" s="54">
        <v>2838.1</v>
      </c>
      <c r="C1408" s="54">
        <v>26032.2</v>
      </c>
      <c r="D1408" s="54">
        <f t="shared" si="63"/>
        <v>8.0363998691507579E-3</v>
      </c>
      <c r="E1408" s="54">
        <f t="shared" si="64"/>
        <v>-1.7763018384990476E-3</v>
      </c>
      <c r="F1408" s="55">
        <f t="shared" si="65"/>
        <v>2025</v>
      </c>
    </row>
    <row r="1409" spans="1:6" x14ac:dyDescent="0.35">
      <c r="A1409" s="69">
        <v>45994</v>
      </c>
      <c r="B1409" s="54">
        <v>2861</v>
      </c>
      <c r="C1409" s="54">
        <v>25986</v>
      </c>
      <c r="D1409" s="54">
        <f t="shared" si="63"/>
        <v>1.6431887725791516E-2</v>
      </c>
      <c r="E1409" s="54">
        <f t="shared" si="64"/>
        <v>1.8358417105443499E-3</v>
      </c>
      <c r="F1409" s="55">
        <f t="shared" si="65"/>
        <v>2025</v>
      </c>
    </row>
    <row r="1410" spans="1:6" x14ac:dyDescent="0.35">
      <c r="A1410" s="69">
        <v>45995</v>
      </c>
      <c r="B1410" s="54">
        <v>2908.4</v>
      </c>
      <c r="C1410" s="54">
        <v>26033.75</v>
      </c>
      <c r="D1410" s="54">
        <f t="shared" ref="D1410:D1427" si="66">LN(B1411/B1410)</f>
        <v>1.5421663532631167E-2</v>
      </c>
      <c r="E1410" s="54">
        <f t="shared" ref="E1410:E1427" si="67">LN(C1411/C1410)</f>
        <v>5.8483282420290989E-3</v>
      </c>
      <c r="F1410" s="55">
        <f t="shared" ref="F1410:F1428" si="68">YEAR(A1410)</f>
        <v>2025</v>
      </c>
    </row>
    <row r="1411" spans="1:6" x14ac:dyDescent="0.35">
      <c r="A1411" s="69">
        <v>45996</v>
      </c>
      <c r="B1411" s="54">
        <v>2953.6</v>
      </c>
      <c r="C1411" s="54">
        <v>26186.45</v>
      </c>
      <c r="D1411" s="54">
        <f t="shared" si="66"/>
        <v>-1.9418085857101513E-2</v>
      </c>
      <c r="E1411" s="54">
        <f t="shared" si="67"/>
        <v>-8.6640233609803375E-3</v>
      </c>
      <c r="F1411" s="55">
        <f t="shared" si="68"/>
        <v>2025</v>
      </c>
    </row>
    <row r="1412" spans="1:6" x14ac:dyDescent="0.35">
      <c r="A1412" s="69">
        <v>45999</v>
      </c>
      <c r="B1412" s="54">
        <v>2896.8</v>
      </c>
      <c r="C1412" s="54">
        <v>25960.55</v>
      </c>
      <c r="D1412" s="54">
        <f t="shared" si="66"/>
        <v>-6.2331388177822361E-3</v>
      </c>
      <c r="E1412" s="54">
        <f t="shared" si="67"/>
        <v>-4.6679441211103243E-3</v>
      </c>
      <c r="F1412" s="55">
        <f t="shared" si="68"/>
        <v>2025</v>
      </c>
    </row>
    <row r="1413" spans="1:6" x14ac:dyDescent="0.35">
      <c r="A1413" s="69">
        <v>46000</v>
      </c>
      <c r="B1413" s="54">
        <v>2878.8</v>
      </c>
      <c r="C1413" s="54">
        <v>25839.65</v>
      </c>
      <c r="D1413" s="54">
        <f t="shared" si="66"/>
        <v>-7.4264239646835602E-3</v>
      </c>
      <c r="E1413" s="54">
        <f t="shared" si="67"/>
        <v>-3.1648754605488705E-3</v>
      </c>
      <c r="F1413" s="55">
        <f t="shared" si="68"/>
        <v>2025</v>
      </c>
    </row>
    <row r="1414" spans="1:6" x14ac:dyDescent="0.35">
      <c r="A1414" s="69">
        <v>46001</v>
      </c>
      <c r="B1414" s="54">
        <v>2857.5</v>
      </c>
      <c r="C1414" s="54">
        <v>25758</v>
      </c>
      <c r="D1414" s="54">
        <f t="shared" si="66"/>
        <v>1.3003451427195304E-2</v>
      </c>
      <c r="E1414" s="54">
        <f t="shared" si="67"/>
        <v>5.441724111835208E-3</v>
      </c>
      <c r="F1414" s="55">
        <f t="shared" si="68"/>
        <v>2025</v>
      </c>
    </row>
    <row r="1415" spans="1:6" x14ac:dyDescent="0.35">
      <c r="A1415" s="69">
        <v>46002</v>
      </c>
      <c r="B1415" s="54">
        <v>2894.9</v>
      </c>
      <c r="C1415" s="54">
        <v>25898.55</v>
      </c>
      <c r="D1415" s="54">
        <f t="shared" si="66"/>
        <v>6.1299179480476191E-3</v>
      </c>
      <c r="E1415" s="54">
        <f t="shared" si="67"/>
        <v>5.7136962287779947E-3</v>
      </c>
      <c r="F1415" s="55">
        <f t="shared" si="68"/>
        <v>2025</v>
      </c>
    </row>
    <row r="1416" spans="1:6" x14ac:dyDescent="0.35">
      <c r="A1416" s="69">
        <v>46003</v>
      </c>
      <c r="B1416" s="54">
        <v>2912.7</v>
      </c>
      <c r="C1416" s="54">
        <v>26046.95</v>
      </c>
      <c r="D1416" s="54">
        <f t="shared" si="66"/>
        <v>-5.0941493151916966E-3</v>
      </c>
      <c r="E1416" s="54">
        <f t="shared" si="67"/>
        <v>-7.5469165403843695E-4</v>
      </c>
      <c r="F1416" s="55">
        <f t="shared" si="68"/>
        <v>2025</v>
      </c>
    </row>
    <row r="1417" spans="1:6" x14ac:dyDescent="0.35">
      <c r="A1417" s="69">
        <v>46006</v>
      </c>
      <c r="B1417" s="54">
        <v>2897.9</v>
      </c>
      <c r="C1417" s="54">
        <v>26027.3</v>
      </c>
      <c r="D1417" s="54">
        <f t="shared" si="66"/>
        <v>-1.2081382844097724E-2</v>
      </c>
      <c r="E1417" s="54">
        <f t="shared" si="67"/>
        <v>-6.4447468447940094E-3</v>
      </c>
      <c r="F1417" s="55">
        <f t="shared" si="68"/>
        <v>2025</v>
      </c>
    </row>
    <row r="1418" spans="1:6" x14ac:dyDescent="0.35">
      <c r="A1418" s="69">
        <v>46007</v>
      </c>
      <c r="B1418" s="54">
        <v>2863.1</v>
      </c>
      <c r="C1418" s="54">
        <v>25860.1</v>
      </c>
      <c r="D1418" s="54">
        <f t="shared" si="66"/>
        <v>7.6810282388217548E-4</v>
      </c>
      <c r="E1418" s="54">
        <f t="shared" si="67"/>
        <v>-1.6080144877245483E-3</v>
      </c>
      <c r="F1418" s="55">
        <f t="shared" si="68"/>
        <v>2025</v>
      </c>
    </row>
    <row r="1419" spans="1:6" x14ac:dyDescent="0.35">
      <c r="A1419" s="69">
        <v>46008</v>
      </c>
      <c r="B1419" s="54">
        <v>2865.3</v>
      </c>
      <c r="C1419" s="54">
        <v>25818.55</v>
      </c>
      <c r="D1419" s="54">
        <f t="shared" si="66"/>
        <v>7.8565376656389661E-3</v>
      </c>
      <c r="E1419" s="54">
        <f t="shared" si="67"/>
        <v>-1.1620227730800423E-4</v>
      </c>
      <c r="F1419" s="55">
        <f t="shared" si="68"/>
        <v>2025</v>
      </c>
    </row>
    <row r="1420" spans="1:6" x14ac:dyDescent="0.35">
      <c r="A1420" s="69">
        <v>46009</v>
      </c>
      <c r="B1420" s="54">
        <v>2887.9</v>
      </c>
      <c r="C1420" s="54">
        <v>25815.55</v>
      </c>
      <c r="D1420" s="54">
        <f t="shared" si="66"/>
        <v>7.9610948978950846E-4</v>
      </c>
      <c r="E1420" s="54">
        <f t="shared" si="67"/>
        <v>5.8263710322537339E-3</v>
      </c>
      <c r="F1420" s="55">
        <f t="shared" si="68"/>
        <v>2025</v>
      </c>
    </row>
    <row r="1421" spans="1:6" x14ac:dyDescent="0.35">
      <c r="A1421" s="69">
        <v>46010</v>
      </c>
      <c r="B1421" s="54">
        <v>2890.2</v>
      </c>
      <c r="C1421" s="54">
        <v>25966.400000000001</v>
      </c>
      <c r="D1421" s="54">
        <f t="shared" si="66"/>
        <v>-1.1078032012949047E-3</v>
      </c>
      <c r="E1421" s="54">
        <f t="shared" si="67"/>
        <v>7.9020258203139574E-3</v>
      </c>
      <c r="F1421" s="55">
        <f t="shared" si="68"/>
        <v>2025</v>
      </c>
    </row>
    <row r="1422" spans="1:6" x14ac:dyDescent="0.35">
      <c r="A1422" s="69">
        <v>46013</v>
      </c>
      <c r="B1422" s="54">
        <v>2887</v>
      </c>
      <c r="C1422" s="54">
        <v>26172.400000000001</v>
      </c>
      <c r="D1422" s="54">
        <f t="shared" si="66"/>
        <v>1.7647314842522435E-2</v>
      </c>
      <c r="E1422" s="54">
        <f t="shared" si="67"/>
        <v>1.8147242958299996E-4</v>
      </c>
      <c r="F1422" s="55">
        <f t="shared" si="68"/>
        <v>2025</v>
      </c>
    </row>
    <row r="1423" spans="1:6" x14ac:dyDescent="0.35">
      <c r="A1423" s="69">
        <v>46014</v>
      </c>
      <c r="B1423" s="54">
        <v>2938.4</v>
      </c>
      <c r="C1423" s="54">
        <v>26177.15</v>
      </c>
      <c r="D1423" s="54">
        <f t="shared" si="66"/>
        <v>-1.5951489971251485E-2</v>
      </c>
      <c r="E1423" s="54">
        <f t="shared" si="67"/>
        <v>-1.3398512113031755E-3</v>
      </c>
      <c r="F1423" s="55">
        <f t="shared" si="68"/>
        <v>2025</v>
      </c>
    </row>
    <row r="1424" spans="1:6" x14ac:dyDescent="0.35">
      <c r="A1424" s="69">
        <v>46015</v>
      </c>
      <c r="B1424" s="54">
        <v>2891.9</v>
      </c>
      <c r="C1424" s="54">
        <v>26142.1</v>
      </c>
      <c r="D1424" s="54">
        <f t="shared" si="66"/>
        <v>-1.4384227113275491E-2</v>
      </c>
      <c r="E1424" s="54">
        <f t="shared" si="67"/>
        <v>-3.8249025253447363E-3</v>
      </c>
      <c r="F1424" s="55">
        <f t="shared" si="68"/>
        <v>2025</v>
      </c>
    </row>
    <row r="1425" spans="1:6" x14ac:dyDescent="0.35">
      <c r="A1425" s="69">
        <v>46017</v>
      </c>
      <c r="B1425" s="54">
        <v>2850.6</v>
      </c>
      <c r="C1425" s="54">
        <v>26042.3</v>
      </c>
      <c r="D1425" s="54">
        <f t="shared" si="66"/>
        <v>-1.3526844547881044E-2</v>
      </c>
      <c r="E1425" s="54">
        <f t="shared" si="67"/>
        <v>-3.8550074287673655E-3</v>
      </c>
      <c r="F1425" s="55">
        <f t="shared" si="68"/>
        <v>2025</v>
      </c>
    </row>
    <row r="1426" spans="1:6" x14ac:dyDescent="0.35">
      <c r="A1426" s="69">
        <v>46020</v>
      </c>
      <c r="B1426" s="54">
        <v>2812.3</v>
      </c>
      <c r="C1426" s="54">
        <v>25942.1</v>
      </c>
      <c r="D1426" s="54">
        <f t="shared" si="66"/>
        <v>-5.9201314133301881E-3</v>
      </c>
      <c r="E1426" s="54">
        <f t="shared" si="67"/>
        <v>-1.2528683473419944E-4</v>
      </c>
      <c r="F1426" s="55">
        <f t="shared" si="68"/>
        <v>2025</v>
      </c>
    </row>
    <row r="1427" spans="1:6" x14ac:dyDescent="0.35">
      <c r="A1427" s="69">
        <v>46021</v>
      </c>
      <c r="B1427" s="54">
        <v>2795.7</v>
      </c>
      <c r="C1427" s="54">
        <v>25938.85</v>
      </c>
      <c r="D1427" s="54">
        <f t="shared" si="66"/>
        <v>-1.6109115871551375E-3</v>
      </c>
      <c r="E1427" s="54">
        <f t="shared" si="67"/>
        <v>7.3269265111137747E-3</v>
      </c>
      <c r="F1427" s="55">
        <f t="shared" si="68"/>
        <v>2025</v>
      </c>
    </row>
    <row r="1428" spans="1:6" ht="15" customHeight="1" x14ac:dyDescent="0.35">
      <c r="A1428" s="76">
        <v>46022</v>
      </c>
      <c r="B1428" s="77">
        <v>2791.2</v>
      </c>
      <c r="C1428" s="77">
        <v>26129.599999999999</v>
      </c>
      <c r="D1428" s="77"/>
      <c r="E1428" s="77"/>
      <c r="F1428" s="78">
        <f t="shared" si="68"/>
        <v>2025</v>
      </c>
    </row>
  </sheetData>
  <mergeCells count="1">
    <mergeCell ref="H2:H7"/>
  </mergeCells>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7" tint="0.39997558519241921"/>
  </sheetPr>
  <dimension ref="A1:H18"/>
  <sheetViews>
    <sheetView zoomScaleNormal="100" workbookViewId="0">
      <selection activeCell="I1" sqref="I1"/>
    </sheetView>
  </sheetViews>
  <sheetFormatPr defaultColWidth="8.54296875" defaultRowHeight="14.5" x14ac:dyDescent="0.35"/>
  <cols>
    <col min="1" max="1" width="23.1796875" customWidth="1"/>
    <col min="2" max="3" width="15.453125" customWidth="1"/>
    <col min="4" max="4" width="17.1796875" customWidth="1"/>
    <col min="5" max="7" width="15.453125" customWidth="1"/>
  </cols>
  <sheetData>
    <row r="1" spans="1:8" ht="27" customHeight="1" thickBot="1" x14ac:dyDescent="0.4">
      <c r="A1" s="106" t="s">
        <v>0</v>
      </c>
      <c r="B1" s="107" t="s">
        <v>165</v>
      </c>
      <c r="C1" s="107" t="s">
        <v>166</v>
      </c>
      <c r="D1" s="107" t="s">
        <v>167</v>
      </c>
      <c r="E1" s="107" t="s">
        <v>168</v>
      </c>
      <c r="F1" s="107" t="s">
        <v>169</v>
      </c>
      <c r="G1" s="111" t="s">
        <v>170</v>
      </c>
      <c r="H1" s="2" t="s">
        <v>2</v>
      </c>
    </row>
    <row r="2" spans="1:8" x14ac:dyDescent="0.35">
      <c r="A2" s="62" t="s">
        <v>171</v>
      </c>
      <c r="B2" s="114">
        <v>15799.021315</v>
      </c>
      <c r="C2" s="114">
        <v>14307.286507999999</v>
      </c>
      <c r="D2" s="114">
        <v>15424.417740999999</v>
      </c>
      <c r="E2">
        <v>13371.96608</v>
      </c>
      <c r="F2" s="114">
        <v>11334.688456</v>
      </c>
      <c r="G2" s="115">
        <v>10894.064139</v>
      </c>
    </row>
    <row r="3" spans="1:8" x14ac:dyDescent="0.35">
      <c r="A3" s="116"/>
      <c r="B3" s="56"/>
      <c r="C3" s="56"/>
      <c r="D3" s="56"/>
      <c r="E3" s="50"/>
      <c r="F3" s="56"/>
      <c r="G3" s="57"/>
    </row>
    <row r="4" spans="1:8" x14ac:dyDescent="0.35">
      <c r="A4" s="117" t="s">
        <v>172</v>
      </c>
      <c r="B4" s="71">
        <v>0.1263</v>
      </c>
      <c r="C4" s="71">
        <v>0.1336</v>
      </c>
      <c r="D4" s="71">
        <v>0.14330000000000001</v>
      </c>
      <c r="E4" s="113">
        <v>0.1331</v>
      </c>
      <c r="F4" s="71">
        <v>0.1285</v>
      </c>
      <c r="G4" s="72">
        <v>0.12239999999999999</v>
      </c>
    </row>
    <row r="5" spans="1:8" x14ac:dyDescent="0.35">
      <c r="A5" s="118"/>
      <c r="B5" s="60"/>
      <c r="C5" s="60"/>
      <c r="D5" s="60"/>
      <c r="E5" s="112"/>
      <c r="F5" s="60"/>
      <c r="G5" s="61"/>
    </row>
    <row r="6" spans="1:8" x14ac:dyDescent="0.35">
      <c r="A6" s="118" t="s">
        <v>173</v>
      </c>
      <c r="B6" s="60">
        <f>'Balance Sheet'!C38+'FCFF &amp; FCFE'!B27</f>
        <v>118469.79000000001</v>
      </c>
      <c r="C6" s="60">
        <f>'Balance Sheet'!D38+'FCFF &amp; FCFE'!C27</f>
        <v>105366.43</v>
      </c>
      <c r="D6" s="60">
        <f>'Balance Sheet'!E38+'FCFF &amp; FCFE'!D27</f>
        <v>88148.97</v>
      </c>
      <c r="E6" s="112">
        <f>'Balance Sheet'!F38+'FCFF &amp; FCFE'!E27</f>
        <v>81550.350000000006</v>
      </c>
      <c r="F6" s="60">
        <f>'Balance Sheet'!G38+'FCFF &amp; FCFE'!F27</f>
        <v>76309.119999999995</v>
      </c>
      <c r="G6" s="119">
        <f>'Balance Sheet'!H38+'FCFF &amp; FCFE'!G27</f>
        <v>71249.84</v>
      </c>
    </row>
    <row r="7" spans="1:8" x14ac:dyDescent="0.35">
      <c r="A7" s="118"/>
      <c r="B7" s="60"/>
      <c r="C7" s="60"/>
      <c r="D7" s="60"/>
      <c r="E7" s="112"/>
      <c r="F7" s="60"/>
      <c r="G7" s="61"/>
    </row>
    <row r="8" spans="1:8" ht="17.25" customHeight="1" thickBot="1" x14ac:dyDescent="0.45">
      <c r="A8" s="58" t="s">
        <v>174</v>
      </c>
      <c r="B8" s="120">
        <f t="shared" ref="B8:G8" si="0">B2-(B4*B6)</f>
        <v>836.28683799999999</v>
      </c>
      <c r="C8" s="120">
        <f t="shared" si="0"/>
        <v>230.33146000000124</v>
      </c>
      <c r="D8" s="120">
        <f t="shared" si="0"/>
        <v>2792.6703399999988</v>
      </c>
      <c r="E8" s="120">
        <f t="shared" si="0"/>
        <v>2517.6144949999998</v>
      </c>
      <c r="F8" s="120">
        <f t="shared" si="0"/>
        <v>1528.9665359999999</v>
      </c>
      <c r="G8" s="79">
        <f t="shared" si="0"/>
        <v>2173.0837230000016</v>
      </c>
    </row>
    <row r="9" spans="1:8" ht="15" customHeight="1" thickTop="1" x14ac:dyDescent="0.35">
      <c r="A9" s="62"/>
      <c r="G9" s="63"/>
    </row>
    <row r="10" spans="1:8" x14ac:dyDescent="0.35">
      <c r="A10" s="80" t="s">
        <v>175</v>
      </c>
      <c r="B10" s="81">
        <v>1900.84</v>
      </c>
      <c r="C10" s="82">
        <v>1890.05</v>
      </c>
      <c r="D10" s="81">
        <v>1884.07</v>
      </c>
      <c r="E10" s="82">
        <v>1878.25</v>
      </c>
      <c r="F10" s="81">
        <v>1870.49</v>
      </c>
      <c r="G10" s="83">
        <v>1865.43</v>
      </c>
    </row>
    <row r="11" spans="1:8" x14ac:dyDescent="0.35">
      <c r="A11" s="84" t="s">
        <v>176</v>
      </c>
      <c r="B11" s="85">
        <v>10</v>
      </c>
      <c r="C11" s="86">
        <v>10</v>
      </c>
      <c r="D11" s="85">
        <v>10</v>
      </c>
      <c r="E11" s="86">
        <v>10</v>
      </c>
      <c r="F11" s="85">
        <v>10</v>
      </c>
      <c r="G11" s="87">
        <v>10</v>
      </c>
    </row>
    <row r="12" spans="1:8" ht="28.5" customHeight="1" x14ac:dyDescent="0.35">
      <c r="A12" s="88" t="s">
        <v>139</v>
      </c>
      <c r="B12" s="89">
        <v>190.08</v>
      </c>
      <c r="C12" s="121">
        <v>189.01</v>
      </c>
      <c r="D12" s="89">
        <v>188.41</v>
      </c>
      <c r="E12" s="121">
        <v>187.83</v>
      </c>
      <c r="F12" s="89">
        <v>187.05</v>
      </c>
      <c r="G12" s="90">
        <v>186.54</v>
      </c>
    </row>
    <row r="13" spans="1:8" x14ac:dyDescent="0.35">
      <c r="A13" s="84" t="s">
        <v>177</v>
      </c>
      <c r="B13" s="91">
        <v>2500.1999999999998</v>
      </c>
      <c r="C13" s="92">
        <v>2388.0500000000002</v>
      </c>
      <c r="D13" s="91">
        <v>1795.75</v>
      </c>
      <c r="E13" s="92">
        <v>3376.85</v>
      </c>
      <c r="F13" s="91">
        <v>1760.48</v>
      </c>
      <c r="G13" s="87">
        <v>675.65</v>
      </c>
    </row>
    <row r="14" spans="1:8" ht="28.5" customHeight="1" x14ac:dyDescent="0.35">
      <c r="A14" s="88" t="s">
        <v>178</v>
      </c>
      <c r="B14" s="93">
        <f t="shared" ref="B14:G14" si="1">B12*B13</f>
        <v>475238.016</v>
      </c>
      <c r="C14" s="122">
        <f t="shared" si="1"/>
        <v>451365.33050000004</v>
      </c>
      <c r="D14" s="122">
        <f t="shared" si="1"/>
        <v>338337.25750000001</v>
      </c>
      <c r="E14" s="122">
        <f t="shared" si="1"/>
        <v>634273.73550000007</v>
      </c>
      <c r="F14" s="122">
        <f t="shared" si="1"/>
        <v>329297.78400000004</v>
      </c>
      <c r="G14" s="94">
        <f t="shared" si="1"/>
        <v>126035.75099999999</v>
      </c>
    </row>
    <row r="15" spans="1:8" x14ac:dyDescent="0.35">
      <c r="A15" s="84" t="s">
        <v>179</v>
      </c>
      <c r="B15" s="91">
        <f>'Balance Sheet'!C38</f>
        <v>96283.96</v>
      </c>
      <c r="C15" s="92">
        <f>'Balance Sheet'!D38</f>
        <v>87946</v>
      </c>
      <c r="D15" s="95">
        <f>'Balance Sheet'!E38</f>
        <v>79348.39</v>
      </c>
      <c r="E15" s="96">
        <f>'Balance Sheet'!F38</f>
        <v>69431.31</v>
      </c>
      <c r="F15" s="95">
        <f>'Balance Sheet'!G38</f>
        <v>65267.1</v>
      </c>
      <c r="G15" s="97">
        <f>'Balance Sheet'!H38</f>
        <v>58295.99</v>
      </c>
    </row>
    <row r="16" spans="1:8" ht="15" thickBot="1" x14ac:dyDescent="0.4">
      <c r="A16" s="123"/>
      <c r="B16" s="124"/>
      <c r="C16" s="125"/>
      <c r="D16" s="124"/>
      <c r="E16" s="125"/>
      <c r="F16" s="124"/>
      <c r="G16" s="126"/>
    </row>
    <row r="17" spans="1:7" ht="17.25" customHeight="1" thickBot="1" x14ac:dyDescent="0.45">
      <c r="A17" s="98" t="s">
        <v>180</v>
      </c>
      <c r="B17" s="59">
        <f t="shared" ref="B17:G17" si="2">B14-B15</f>
        <v>378954.05599999998</v>
      </c>
      <c r="C17" s="59">
        <f t="shared" si="2"/>
        <v>363419.33050000004</v>
      </c>
      <c r="D17" s="59">
        <f t="shared" si="2"/>
        <v>258988.86749999999</v>
      </c>
      <c r="E17" s="59">
        <f t="shared" si="2"/>
        <v>564842.42550000013</v>
      </c>
      <c r="F17" s="59">
        <f t="shared" si="2"/>
        <v>264030.68400000007</v>
      </c>
      <c r="G17" s="59">
        <f t="shared" si="2"/>
        <v>67739.760999999999</v>
      </c>
    </row>
    <row r="18" spans="1:7" ht="15" customHeight="1" x14ac:dyDescent="0.35">
      <c r="B18" s="99"/>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8554-EEBF-4B0C-B848-5C5DEFB98DCA}">
  <sheetPr>
    <tabColor theme="7" tint="0.39997558519241921"/>
  </sheetPr>
  <dimension ref="A1:G50"/>
  <sheetViews>
    <sheetView workbookViewId="0">
      <selection activeCell="I9" sqref="I9"/>
    </sheetView>
  </sheetViews>
  <sheetFormatPr defaultRowHeight="14.5" x14ac:dyDescent="0.35"/>
  <sheetData>
    <row r="1" spans="1:7" x14ac:dyDescent="0.35">
      <c r="A1" s="163" t="s">
        <v>181</v>
      </c>
    </row>
    <row r="3" spans="1:7" x14ac:dyDescent="0.35">
      <c r="A3" s="189" t="s">
        <v>182</v>
      </c>
      <c r="B3" s="189"/>
      <c r="C3" s="189"/>
      <c r="D3" s="189"/>
      <c r="E3" s="189"/>
      <c r="F3" s="189"/>
      <c r="G3" s="189"/>
    </row>
    <row r="4" spans="1:7" x14ac:dyDescent="0.35">
      <c r="A4" s="189"/>
      <c r="B4" s="189"/>
      <c r="C4" s="189"/>
      <c r="D4" s="189"/>
      <c r="E4" s="189"/>
      <c r="F4" s="189"/>
      <c r="G4" s="189"/>
    </row>
    <row r="5" spans="1:7" x14ac:dyDescent="0.35">
      <c r="A5" s="189"/>
      <c r="B5" s="189"/>
      <c r="C5" s="189"/>
      <c r="D5" s="189"/>
      <c r="E5" s="189"/>
      <c r="F5" s="189"/>
      <c r="G5" s="189"/>
    </row>
    <row r="6" spans="1:7" x14ac:dyDescent="0.35">
      <c r="A6" s="189"/>
      <c r="B6" s="189"/>
      <c r="C6" s="189"/>
      <c r="D6" s="189"/>
      <c r="E6" s="189"/>
      <c r="F6" s="189"/>
      <c r="G6" s="189"/>
    </row>
    <row r="7" spans="1:7" x14ac:dyDescent="0.35">
      <c r="A7" s="189"/>
      <c r="B7" s="189"/>
      <c r="C7" s="189"/>
      <c r="D7" s="189"/>
      <c r="E7" s="189"/>
      <c r="F7" s="189"/>
      <c r="G7" s="189"/>
    </row>
    <row r="8" spans="1:7" x14ac:dyDescent="0.35">
      <c r="A8" s="189"/>
      <c r="B8" s="189"/>
      <c r="C8" s="189"/>
      <c r="D8" s="189"/>
      <c r="E8" s="189"/>
      <c r="F8" s="189"/>
      <c r="G8" s="189"/>
    </row>
    <row r="9" spans="1:7" x14ac:dyDescent="0.35">
      <c r="A9" s="189"/>
      <c r="B9" s="189"/>
      <c r="C9" s="189"/>
      <c r="D9" s="189"/>
      <c r="E9" s="189"/>
      <c r="F9" s="189"/>
      <c r="G9" s="189"/>
    </row>
    <row r="10" spans="1:7" x14ac:dyDescent="0.35">
      <c r="A10" s="189"/>
      <c r="B10" s="189"/>
      <c r="C10" s="189"/>
      <c r="D10" s="189"/>
      <c r="E10" s="189"/>
      <c r="F10" s="189"/>
      <c r="G10" s="189"/>
    </row>
    <row r="12" spans="1:7" x14ac:dyDescent="0.35">
      <c r="A12" s="163" t="s">
        <v>183</v>
      </c>
    </row>
    <row r="14" spans="1:7" x14ac:dyDescent="0.35">
      <c r="A14" s="188" t="s">
        <v>186</v>
      </c>
      <c r="B14" s="188"/>
      <c r="C14" s="188"/>
      <c r="D14" s="188"/>
      <c r="E14" s="188"/>
      <c r="F14" s="188"/>
      <c r="G14" s="188"/>
    </row>
    <row r="15" spans="1:7" x14ac:dyDescent="0.35">
      <c r="A15" s="188"/>
      <c r="B15" s="188"/>
      <c r="C15" s="188"/>
      <c r="D15" s="188"/>
      <c r="E15" s="188"/>
      <c r="F15" s="188"/>
      <c r="G15" s="188"/>
    </row>
    <row r="16" spans="1:7" x14ac:dyDescent="0.35">
      <c r="A16" s="188"/>
      <c r="B16" s="188"/>
      <c r="C16" s="188"/>
      <c r="D16" s="188"/>
      <c r="E16" s="188"/>
      <c r="F16" s="188"/>
      <c r="G16" s="188"/>
    </row>
    <row r="17" spans="1:7" x14ac:dyDescent="0.35">
      <c r="A17" s="188"/>
      <c r="B17" s="188"/>
      <c r="C17" s="188"/>
      <c r="D17" s="188"/>
      <c r="E17" s="188"/>
      <c r="F17" s="188"/>
      <c r="G17" s="188"/>
    </row>
    <row r="18" spans="1:7" x14ac:dyDescent="0.35">
      <c r="A18" s="188"/>
      <c r="B18" s="188"/>
      <c r="C18" s="188"/>
      <c r="D18" s="188"/>
      <c r="E18" s="188"/>
      <c r="F18" s="188"/>
      <c r="G18" s="188"/>
    </row>
    <row r="19" spans="1:7" x14ac:dyDescent="0.35">
      <c r="A19" s="188"/>
      <c r="B19" s="188"/>
      <c r="C19" s="188"/>
      <c r="D19" s="188"/>
      <c r="E19" s="188"/>
      <c r="F19" s="188"/>
      <c r="G19" s="188"/>
    </row>
    <row r="20" spans="1:7" x14ac:dyDescent="0.35">
      <c r="A20" s="188"/>
      <c r="B20" s="188"/>
      <c r="C20" s="188"/>
      <c r="D20" s="188"/>
      <c r="E20" s="188"/>
      <c r="F20" s="188"/>
      <c r="G20" s="188"/>
    </row>
    <row r="21" spans="1:7" x14ac:dyDescent="0.35">
      <c r="A21" s="188"/>
      <c r="B21" s="188"/>
      <c r="C21" s="188"/>
      <c r="D21" s="188"/>
      <c r="E21" s="188"/>
      <c r="F21" s="188"/>
      <c r="G21" s="188"/>
    </row>
    <row r="22" spans="1:7" x14ac:dyDescent="0.35">
      <c r="A22" s="188"/>
      <c r="B22" s="188"/>
      <c r="C22" s="188"/>
      <c r="D22" s="188"/>
      <c r="E22" s="188"/>
      <c r="F22" s="188"/>
      <c r="G22" s="188"/>
    </row>
    <row r="23" spans="1:7" x14ac:dyDescent="0.35">
      <c r="A23" s="163" t="s">
        <v>184</v>
      </c>
    </row>
    <row r="25" spans="1:7" x14ac:dyDescent="0.35">
      <c r="A25" s="188" t="s">
        <v>185</v>
      </c>
      <c r="B25" s="188"/>
      <c r="C25" s="188"/>
      <c r="D25" s="188"/>
      <c r="E25" s="188"/>
      <c r="F25" s="188"/>
      <c r="G25" s="188"/>
    </row>
    <row r="26" spans="1:7" x14ac:dyDescent="0.35">
      <c r="A26" s="188"/>
      <c r="B26" s="188"/>
      <c r="C26" s="188"/>
      <c r="D26" s="188"/>
      <c r="E26" s="188"/>
      <c r="F26" s="188"/>
      <c r="G26" s="188"/>
    </row>
    <row r="27" spans="1:7" x14ac:dyDescent="0.35">
      <c r="A27" s="188"/>
      <c r="B27" s="188"/>
      <c r="C27" s="188"/>
      <c r="D27" s="188"/>
      <c r="E27" s="188"/>
      <c r="F27" s="188"/>
      <c r="G27" s="188"/>
    </row>
    <row r="28" spans="1:7" x14ac:dyDescent="0.35">
      <c r="A28" s="188"/>
      <c r="B28" s="188"/>
      <c r="C28" s="188"/>
      <c r="D28" s="188"/>
      <c r="E28" s="188"/>
      <c r="F28" s="188"/>
      <c r="G28" s="188"/>
    </row>
    <row r="29" spans="1:7" x14ac:dyDescent="0.35">
      <c r="A29" s="188"/>
      <c r="B29" s="188"/>
      <c r="C29" s="188"/>
      <c r="D29" s="188"/>
      <c r="E29" s="188"/>
      <c r="F29" s="188"/>
      <c r="G29" s="188"/>
    </row>
    <row r="30" spans="1:7" x14ac:dyDescent="0.35">
      <c r="A30" s="188"/>
      <c r="B30" s="188"/>
      <c r="C30" s="188"/>
      <c r="D30" s="188"/>
      <c r="E30" s="188"/>
      <c r="F30" s="188"/>
      <c r="G30" s="188"/>
    </row>
    <row r="31" spans="1:7" x14ac:dyDescent="0.35">
      <c r="A31" s="188"/>
      <c r="B31" s="188"/>
      <c r="C31" s="188"/>
      <c r="D31" s="188"/>
      <c r="E31" s="188"/>
      <c r="F31" s="188"/>
      <c r="G31" s="188"/>
    </row>
    <row r="32" spans="1:7" x14ac:dyDescent="0.35">
      <c r="A32" s="188"/>
      <c r="B32" s="188"/>
      <c r="C32" s="188"/>
      <c r="D32" s="188"/>
      <c r="E32" s="188"/>
      <c r="F32" s="188"/>
      <c r="G32" s="188"/>
    </row>
    <row r="33" spans="1:7" x14ac:dyDescent="0.35">
      <c r="A33" s="188"/>
      <c r="B33" s="188"/>
      <c r="C33" s="188"/>
      <c r="D33" s="188"/>
      <c r="E33" s="188"/>
      <c r="F33" s="188"/>
      <c r="G33" s="188"/>
    </row>
    <row r="34" spans="1:7" x14ac:dyDescent="0.35">
      <c r="A34" s="188"/>
      <c r="B34" s="188"/>
      <c r="C34" s="188"/>
      <c r="D34" s="188"/>
      <c r="E34" s="188"/>
      <c r="F34" s="188"/>
      <c r="G34" s="188"/>
    </row>
    <row r="35" spans="1:7" x14ac:dyDescent="0.35">
      <c r="A35" s="188"/>
      <c r="B35" s="188"/>
      <c r="C35" s="188"/>
      <c r="D35" s="188"/>
      <c r="E35" s="188"/>
      <c r="F35" s="188"/>
      <c r="G35" s="188"/>
    </row>
    <row r="36" spans="1:7" x14ac:dyDescent="0.35">
      <c r="A36" s="188"/>
      <c r="B36" s="188"/>
      <c r="C36" s="188"/>
      <c r="D36" s="188"/>
      <c r="E36" s="188"/>
      <c r="F36" s="188"/>
      <c r="G36" s="188"/>
    </row>
    <row r="37" spans="1:7" x14ac:dyDescent="0.35">
      <c r="A37" s="163" t="s">
        <v>187</v>
      </c>
    </row>
    <row r="39" spans="1:7" x14ac:dyDescent="0.35">
      <c r="A39" s="188" t="s">
        <v>188</v>
      </c>
      <c r="B39" s="188"/>
      <c r="C39" s="188"/>
      <c r="D39" s="188"/>
      <c r="E39" s="188"/>
      <c r="F39" s="188"/>
      <c r="G39" s="188"/>
    </row>
    <row r="40" spans="1:7" x14ac:dyDescent="0.35">
      <c r="A40" s="188"/>
      <c r="B40" s="188"/>
      <c r="C40" s="188"/>
      <c r="D40" s="188"/>
      <c r="E40" s="188"/>
      <c r="F40" s="188"/>
      <c r="G40" s="188"/>
    </row>
    <row r="41" spans="1:7" x14ac:dyDescent="0.35">
      <c r="A41" s="188"/>
      <c r="B41" s="188"/>
      <c r="C41" s="188"/>
      <c r="D41" s="188"/>
      <c r="E41" s="188"/>
      <c r="F41" s="188"/>
      <c r="G41" s="188"/>
    </row>
    <row r="42" spans="1:7" x14ac:dyDescent="0.35">
      <c r="A42" s="188"/>
      <c r="B42" s="188"/>
      <c r="C42" s="188"/>
      <c r="D42" s="188"/>
      <c r="E42" s="188"/>
      <c r="F42" s="188"/>
      <c r="G42" s="188"/>
    </row>
    <row r="43" spans="1:7" x14ac:dyDescent="0.35">
      <c r="A43" s="188"/>
      <c r="B43" s="188"/>
      <c r="C43" s="188"/>
      <c r="D43" s="188"/>
      <c r="E43" s="188"/>
      <c r="F43" s="188"/>
      <c r="G43" s="188"/>
    </row>
    <row r="44" spans="1:7" x14ac:dyDescent="0.35">
      <c r="A44" s="188"/>
      <c r="B44" s="188"/>
      <c r="C44" s="188"/>
      <c r="D44" s="188"/>
      <c r="E44" s="188"/>
      <c r="F44" s="188"/>
      <c r="G44" s="188"/>
    </row>
    <row r="45" spans="1:7" x14ac:dyDescent="0.35">
      <c r="A45" s="188"/>
      <c r="B45" s="188"/>
      <c r="C45" s="188"/>
      <c r="D45" s="188"/>
      <c r="E45" s="188"/>
      <c r="F45" s="188"/>
      <c r="G45" s="188"/>
    </row>
    <row r="46" spans="1:7" x14ac:dyDescent="0.35">
      <c r="A46" s="188"/>
      <c r="B46" s="188"/>
      <c r="C46" s="188"/>
      <c r="D46" s="188"/>
      <c r="E46" s="188"/>
      <c r="F46" s="188"/>
      <c r="G46" s="188"/>
    </row>
    <row r="47" spans="1:7" x14ac:dyDescent="0.35">
      <c r="A47" s="188"/>
      <c r="B47" s="188"/>
      <c r="C47" s="188"/>
      <c r="D47" s="188"/>
      <c r="E47" s="188"/>
      <c r="F47" s="188"/>
      <c r="G47" s="188"/>
    </row>
    <row r="48" spans="1:7" x14ac:dyDescent="0.35">
      <c r="A48" s="188"/>
      <c r="B48" s="188"/>
      <c r="C48" s="188"/>
      <c r="D48" s="188"/>
      <c r="E48" s="188"/>
      <c r="F48" s="188"/>
      <c r="G48" s="188"/>
    </row>
    <row r="49" spans="1:7" x14ac:dyDescent="0.35">
      <c r="A49" s="188"/>
      <c r="B49" s="188"/>
      <c r="C49" s="188"/>
      <c r="D49" s="188"/>
      <c r="E49" s="188"/>
      <c r="F49" s="188"/>
      <c r="G49" s="188"/>
    </row>
    <row r="50" spans="1:7" x14ac:dyDescent="0.35">
      <c r="A50" s="188"/>
      <c r="B50" s="188"/>
      <c r="C50" s="188"/>
      <c r="D50" s="188"/>
      <c r="E50" s="188"/>
      <c r="F50" s="188"/>
      <c r="G50" s="188"/>
    </row>
  </sheetData>
  <mergeCells count="4">
    <mergeCell ref="A14:G22"/>
    <mergeCell ref="A25:G36"/>
    <mergeCell ref="A39:G50"/>
    <mergeCell ref="A3:G1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420A2-F3C3-42BE-AAE4-787607A9ACF0}">
  <sheetPr>
    <tabColor theme="7" tint="0.39997558519241921"/>
  </sheetPr>
  <dimension ref="A1:N12"/>
  <sheetViews>
    <sheetView tabSelected="1" workbookViewId="0">
      <selection activeCell="I16" sqref="I16"/>
    </sheetView>
  </sheetViews>
  <sheetFormatPr defaultRowHeight="14.5" x14ac:dyDescent="0.35"/>
  <cols>
    <col min="1" max="1" width="30.36328125" bestFit="1" customWidth="1"/>
    <col min="2" max="2" width="10.90625" customWidth="1"/>
    <col min="3" max="3" width="11.08984375" bestFit="1" customWidth="1"/>
    <col min="4" max="4" width="10.26953125" customWidth="1"/>
    <col min="5" max="5" width="11.08984375" bestFit="1" customWidth="1"/>
    <col min="6" max="6" width="10.1796875" customWidth="1"/>
    <col min="7" max="7" width="11.08984375" bestFit="1" customWidth="1"/>
    <col min="8" max="8" width="10.453125" customWidth="1"/>
    <col min="9" max="9" width="11.08984375" bestFit="1" customWidth="1"/>
    <col min="10" max="10" width="10.1796875" customWidth="1"/>
    <col min="11" max="11" width="11.08984375" bestFit="1" customWidth="1"/>
  </cols>
  <sheetData>
    <row r="1" spans="1:14" ht="35.5" customHeight="1" thickBot="1" x14ac:dyDescent="0.4">
      <c r="A1" s="174" t="s">
        <v>0</v>
      </c>
      <c r="B1" s="175" t="s">
        <v>201</v>
      </c>
      <c r="C1" s="176">
        <v>45747</v>
      </c>
      <c r="D1" s="175" t="s">
        <v>201</v>
      </c>
      <c r="E1" s="176">
        <v>45382</v>
      </c>
      <c r="F1" s="175" t="s">
        <v>201</v>
      </c>
      <c r="G1" s="176">
        <v>45016</v>
      </c>
      <c r="H1" s="175" t="s">
        <v>201</v>
      </c>
      <c r="I1" s="176">
        <v>44651</v>
      </c>
      <c r="J1" s="175" t="s">
        <v>201</v>
      </c>
      <c r="K1" s="177">
        <v>44286</v>
      </c>
    </row>
    <row r="2" spans="1:14" x14ac:dyDescent="0.35">
      <c r="A2" s="170" t="s">
        <v>189</v>
      </c>
      <c r="B2" s="171"/>
      <c r="C2" s="172">
        <f>'Income Statement'!B3</f>
        <v>142299.87</v>
      </c>
      <c r="D2" s="172"/>
      <c r="E2" s="172">
        <f>'Income Statement'!C3</f>
        <v>132785.15</v>
      </c>
      <c r="F2" s="172"/>
      <c r="G2" s="172">
        <f>'Income Statement'!D3</f>
        <v>137984.97</v>
      </c>
      <c r="H2" s="172"/>
      <c r="I2" s="172">
        <f>'Income Statement'!E3</f>
        <v>119614.44</v>
      </c>
      <c r="J2" s="172"/>
      <c r="K2" s="173">
        <f>'Income Statement'!F3</f>
        <v>97223.11</v>
      </c>
      <c r="N2" t="s">
        <v>194</v>
      </c>
    </row>
    <row r="3" spans="1:14" x14ac:dyDescent="0.35">
      <c r="A3" s="167" t="s">
        <v>190</v>
      </c>
      <c r="B3" s="166"/>
      <c r="C3" s="166">
        <f>('Balance Sheet'!C23+'Balance Sheet'!D23)/2</f>
        <v>26331.440000000002</v>
      </c>
      <c r="D3" s="166"/>
      <c r="E3" s="166">
        <f>('Balance Sheet'!D23+'Balance Sheet'!E23)/2</f>
        <v>24730.974999999999</v>
      </c>
      <c r="F3" s="166"/>
      <c r="G3" s="166">
        <f>('Balance Sheet'!E23+'Balance Sheet'!F24+'Balance Sheet'!F25)/2</f>
        <v>23737.84</v>
      </c>
      <c r="H3" s="166"/>
      <c r="I3" s="166">
        <f>('Balance Sheet'!G24+'Balance Sheet'!G25+'Balance Sheet'!F24+'Balance Sheet'!F25)/2</f>
        <v>20387.114999999998</v>
      </c>
      <c r="J3" s="166"/>
      <c r="K3" s="168">
        <f>('Balance Sheet'!G24+'Balance Sheet'!G25+'Balance Sheet'!H23+'Balance Sheet'!H25)/2</f>
        <v>18100.205000000002</v>
      </c>
    </row>
    <row r="4" spans="1:14" ht="15" thickBot="1" x14ac:dyDescent="0.4">
      <c r="A4" s="169" t="s">
        <v>193</v>
      </c>
      <c r="B4" s="178">
        <v>4.71</v>
      </c>
      <c r="C4" s="179">
        <f>C2/C3</f>
        <v>5.4041810854248755</v>
      </c>
      <c r="D4" s="179">
        <v>4.66</v>
      </c>
      <c r="E4" s="179">
        <f t="shared" ref="E4:K4" si="0">E2/E3</f>
        <v>5.3691837867289909</v>
      </c>
      <c r="F4" s="179">
        <v>4.8600000000000003</v>
      </c>
      <c r="G4" s="179">
        <f t="shared" si="0"/>
        <v>5.8128696629516421</v>
      </c>
      <c r="H4" s="179">
        <v>4.8499999999999996</v>
      </c>
      <c r="I4" s="179">
        <f t="shared" si="0"/>
        <v>5.8671587421761249</v>
      </c>
      <c r="J4" s="179">
        <v>4.34</v>
      </c>
      <c r="K4" s="180">
        <f t="shared" si="0"/>
        <v>5.3713817053453257</v>
      </c>
    </row>
    <row r="5" spans="1:14" ht="15" thickTop="1" x14ac:dyDescent="0.35">
      <c r="A5" s="167" t="s">
        <v>195</v>
      </c>
      <c r="B5" s="171"/>
      <c r="C5" s="172">
        <f>'Income Statement'!B12-('Income Statement'!B8+'Income Statement'!B10)</f>
        <v>36038.490000000005</v>
      </c>
      <c r="D5" s="172"/>
      <c r="E5" s="172">
        <f>'Income Statement'!C12-('Income Statement'!C8+'Income Statement'!C10)</f>
        <v>30921.709999999992</v>
      </c>
      <c r="F5" s="172"/>
      <c r="G5" s="172">
        <f>'Income Statement'!D12-('Income Statement'!D8+'Income Statement'!D10)</f>
        <v>33860.17</v>
      </c>
      <c r="H5" s="172"/>
      <c r="I5" s="172">
        <f>'Income Statement'!E12-('Income Statement'!E8+'Income Statement'!E10)</f>
        <v>28837.410000000003</v>
      </c>
      <c r="J5" s="172"/>
      <c r="K5" s="173">
        <f>'Income Statement'!F12-('Income Statement'!F8+'Income Statement'!F10)</f>
        <v>23530.739999999998</v>
      </c>
    </row>
    <row r="6" spans="1:14" x14ac:dyDescent="0.35">
      <c r="A6" s="167" t="s">
        <v>196</v>
      </c>
      <c r="B6" s="166"/>
      <c r="C6" s="166">
        <f>('Balance Sheet'!C52+'Balance Sheet'!D52)/2</f>
        <v>8883.9</v>
      </c>
      <c r="D6" s="166"/>
      <c r="E6" s="166">
        <f>('Balance Sheet'!D52+'Balance Sheet'!E52)/2</f>
        <v>8311.64</v>
      </c>
      <c r="F6" s="166"/>
      <c r="G6" s="166">
        <f>('Balance Sheet'!E52+'Balance Sheet'!F52)/2</f>
        <v>8568.0349999999999</v>
      </c>
      <c r="H6" s="166"/>
      <c r="I6" s="166">
        <f>('Balance Sheet'!F52+'Balance Sheet'!G52)/2</f>
        <v>7229.9400000000005</v>
      </c>
      <c r="J6" s="166"/>
      <c r="K6" s="168">
        <f>('Balance Sheet'!G52+'Balance Sheet'!H52)/2</f>
        <v>6315.3850000000002</v>
      </c>
    </row>
    <row r="7" spans="1:14" ht="15" thickBot="1" x14ac:dyDescent="0.4">
      <c r="A7" s="169" t="s">
        <v>197</v>
      </c>
      <c r="B7" s="178">
        <v>8.6999999999999993</v>
      </c>
      <c r="C7" s="179">
        <f>C5/C6</f>
        <v>4.0566068956201677</v>
      </c>
      <c r="D7" s="179">
        <v>8.5399999999999991</v>
      </c>
      <c r="E7" s="179">
        <f t="shared" ref="E7:K7" si="1">E5/E6</f>
        <v>3.7202898585598021</v>
      </c>
      <c r="F7" s="179">
        <v>8.67</v>
      </c>
      <c r="G7" s="179">
        <f t="shared" si="1"/>
        <v>3.9519177967877113</v>
      </c>
      <c r="H7" s="179">
        <v>8.73</v>
      </c>
      <c r="I7" s="179">
        <f t="shared" si="1"/>
        <v>3.988609863982274</v>
      </c>
      <c r="J7" s="179">
        <v>8.06</v>
      </c>
      <c r="K7" s="180">
        <f t="shared" si="1"/>
        <v>3.7259391153508452</v>
      </c>
    </row>
    <row r="8" spans="1:14" ht="15.5" thickTop="1" thickBot="1" x14ac:dyDescent="0.4">
      <c r="A8" s="169" t="s">
        <v>198</v>
      </c>
      <c r="B8" s="181">
        <v>77.44</v>
      </c>
      <c r="C8" s="182">
        <f>365/C4</f>
        <v>67.540297823181433</v>
      </c>
      <c r="D8" s="182">
        <v>78.36</v>
      </c>
      <c r="E8" s="182">
        <f t="shared" ref="E8:K8" si="2">365/E4</f>
        <v>67.980537545049273</v>
      </c>
      <c r="F8" s="182">
        <v>75.14</v>
      </c>
      <c r="G8" s="182">
        <f t="shared" si="2"/>
        <v>62.791705502418125</v>
      </c>
      <c r="H8" s="182">
        <v>75.19</v>
      </c>
      <c r="I8" s="182">
        <f t="shared" si="2"/>
        <v>62.210691075425338</v>
      </c>
      <c r="J8" s="182">
        <v>84.12</v>
      </c>
      <c r="K8" s="183">
        <f t="shared" si="2"/>
        <v>67.952720551728916</v>
      </c>
    </row>
    <row r="9" spans="1:14" ht="15.5" thickTop="1" thickBot="1" x14ac:dyDescent="0.4">
      <c r="A9" s="169" t="s">
        <v>199</v>
      </c>
      <c r="B9" s="181">
        <v>41.95</v>
      </c>
      <c r="C9" s="182">
        <f>365/C7</f>
        <v>89.976674938378366</v>
      </c>
      <c r="D9" s="182">
        <v>42.74</v>
      </c>
      <c r="E9" s="182">
        <f t="shared" ref="E9:K9" si="3">365/E7</f>
        <v>98.110634890502524</v>
      </c>
      <c r="F9" s="182">
        <v>42.11</v>
      </c>
      <c r="G9" s="182">
        <f t="shared" si="3"/>
        <v>92.360220725412788</v>
      </c>
      <c r="H9" s="182">
        <v>41.82</v>
      </c>
      <c r="I9" s="182">
        <f t="shared" si="3"/>
        <v>91.510579486854041</v>
      </c>
      <c r="J9" s="182">
        <v>45.25</v>
      </c>
      <c r="K9" s="183">
        <f t="shared" si="3"/>
        <v>97.961879864381672</v>
      </c>
    </row>
    <row r="10" spans="1:14" ht="15" thickTop="1" x14ac:dyDescent="0.35">
      <c r="A10" s="167"/>
      <c r="B10" s="171"/>
      <c r="C10" s="171"/>
      <c r="D10" s="171"/>
      <c r="E10" s="171"/>
      <c r="F10" s="171"/>
      <c r="G10" s="171"/>
      <c r="H10" s="171"/>
      <c r="I10" s="171"/>
      <c r="J10" s="171"/>
      <c r="K10" s="184"/>
    </row>
    <row r="11" spans="1:14" ht="17.5" thickBot="1" x14ac:dyDescent="0.45">
      <c r="A11" s="164" t="s">
        <v>200</v>
      </c>
      <c r="B11" s="164">
        <v>36.28</v>
      </c>
      <c r="C11" s="165">
        <f>C8-C9</f>
        <v>-22.436377115196933</v>
      </c>
      <c r="D11" s="165">
        <v>37.57</v>
      </c>
      <c r="E11" s="165">
        <f t="shared" ref="E11:K11" si="4">E8-E9</f>
        <v>-30.130097345453251</v>
      </c>
      <c r="F11" s="165">
        <v>35.06</v>
      </c>
      <c r="G11" s="165">
        <f t="shared" si="4"/>
        <v>-29.568515222994662</v>
      </c>
      <c r="H11" s="165">
        <v>35.18</v>
      </c>
      <c r="I11" s="165">
        <f t="shared" si="4"/>
        <v>-29.299888411428704</v>
      </c>
      <c r="J11" s="165">
        <v>40.659999999999997</v>
      </c>
      <c r="K11" s="165">
        <f t="shared" si="4"/>
        <v>-30.009159312652756</v>
      </c>
    </row>
    <row r="12" spans="1:14" ht="15" thickTop="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Intro</vt:lpstr>
      <vt:lpstr>Balance Sheet</vt:lpstr>
      <vt:lpstr>Income Statement</vt:lpstr>
      <vt:lpstr>Cashflow</vt:lpstr>
      <vt:lpstr>FCFF &amp; FCFE</vt:lpstr>
      <vt:lpstr>WACC</vt:lpstr>
      <vt:lpstr>EVA &amp; MVA</vt:lpstr>
      <vt:lpstr>Interpretation</vt:lpstr>
      <vt:lpstr>Activity Ratios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2RBA2025_Janhavi Patil</dc:creator>
  <dc:description/>
  <cp:lastModifiedBy>2RBA2025_Janhavi Patil</cp:lastModifiedBy>
  <cp:revision>0</cp:revision>
  <dcterms:created xsi:type="dcterms:W3CDTF">2026-04-02T11:07:06Z</dcterms:created>
  <dcterms:modified xsi:type="dcterms:W3CDTF">2026-04-16T07:25:50Z</dcterms:modified>
  <dc:language>en-US</dc:language>
</cp:coreProperties>
</file>